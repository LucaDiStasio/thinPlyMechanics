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14655" windowHeight="4170" activeTab="3"/>
  </bookViews>
  <sheets>
    <sheet name="PhasesData" sheetId="1" r:id="rId1"/>
    <sheet name="CF-EP" sheetId="2" r:id="rId2"/>
    <sheet name="GF-EP" sheetId="3" r:id="rId3"/>
    <sheet name="DundursParameter" sheetId="4" r:id="rId4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" i="4" l="1"/>
  <c r="R4" i="4"/>
  <c r="Q5" i="4"/>
  <c r="R5" i="4"/>
  <c r="Q6" i="4"/>
  <c r="R6" i="4"/>
  <c r="Q7" i="4"/>
  <c r="R7" i="4"/>
  <c r="R3" i="4"/>
  <c r="Q3" i="4"/>
  <c r="M4" i="4"/>
  <c r="N4" i="4"/>
  <c r="M5" i="4"/>
  <c r="N5" i="4"/>
  <c r="M6" i="4"/>
  <c r="N6" i="4"/>
  <c r="M7" i="4"/>
  <c r="N7" i="4"/>
  <c r="N3" i="4"/>
  <c r="M3" i="4"/>
  <c r="L6" i="4"/>
  <c r="L7" i="4"/>
  <c r="L5" i="4"/>
  <c r="I7" i="4"/>
  <c r="I6" i="4"/>
  <c r="I5" i="4"/>
  <c r="I4" i="4"/>
  <c r="G12" i="1"/>
  <c r="G13" i="1"/>
  <c r="G11" i="1"/>
  <c r="I3" i="4" s="1"/>
  <c r="D4" i="4"/>
  <c r="D5" i="4"/>
  <c r="D6" i="4"/>
  <c r="P6" i="4" s="1"/>
  <c r="D7" i="4"/>
  <c r="D3" i="4"/>
  <c r="G6" i="1"/>
  <c r="G7" i="1"/>
  <c r="G8" i="1"/>
  <c r="G9" i="1"/>
  <c r="G5" i="1"/>
  <c r="J7" i="4"/>
  <c r="P7" i="4" s="1"/>
  <c r="J6" i="4"/>
  <c r="J5" i="4"/>
  <c r="J4" i="4"/>
  <c r="J3" i="4"/>
  <c r="H7" i="4"/>
  <c r="H6" i="4"/>
  <c r="H5" i="4"/>
  <c r="H4" i="4"/>
  <c r="H3" i="4"/>
  <c r="G7" i="4"/>
  <c r="G6" i="4"/>
  <c r="G5" i="4"/>
  <c r="G4" i="4"/>
  <c r="G3" i="4"/>
  <c r="B4" i="4"/>
  <c r="K4" i="4" s="1"/>
  <c r="C4" i="4"/>
  <c r="O4" i="4" s="1"/>
  <c r="E4" i="4"/>
  <c r="B5" i="4"/>
  <c r="C5" i="4"/>
  <c r="O5" i="4" s="1"/>
  <c r="E5" i="4"/>
  <c r="B6" i="4"/>
  <c r="C6" i="4"/>
  <c r="O6" i="4" s="1"/>
  <c r="E6" i="4"/>
  <c r="B7" i="4"/>
  <c r="K7" i="4" s="1"/>
  <c r="C7" i="4"/>
  <c r="O7" i="4" s="1"/>
  <c r="E7" i="4"/>
  <c r="E3" i="4"/>
  <c r="C3" i="4"/>
  <c r="O3" i="4" s="1"/>
  <c r="B3" i="4"/>
  <c r="A7" i="4"/>
  <c r="F7" i="4"/>
  <c r="F6" i="4"/>
  <c r="A4" i="4"/>
  <c r="A5" i="4"/>
  <c r="A6" i="4"/>
  <c r="F5" i="4"/>
  <c r="F4" i="4"/>
  <c r="F3" i="4"/>
  <c r="A3" i="4"/>
  <c r="K3" i="4" l="1"/>
  <c r="P5" i="4"/>
  <c r="K5" i="4"/>
  <c r="K6" i="4"/>
  <c r="D13" i="1"/>
  <c r="D9" i="1"/>
  <c r="D7" i="1"/>
  <c r="D6" i="1"/>
  <c r="A3" i="3" l="1"/>
  <c r="A2" i="3"/>
  <c r="B3" i="3"/>
  <c r="F3" i="3"/>
  <c r="H5" i="3"/>
  <c r="C8" i="3"/>
  <c r="E10" i="3"/>
  <c r="C9" i="3"/>
  <c r="D4" i="3"/>
  <c r="F6" i="3"/>
  <c r="H8" i="3"/>
  <c r="F4" i="3"/>
  <c r="D3" i="3"/>
  <c r="F5" i="3"/>
  <c r="H7" i="3"/>
  <c r="C10" i="3"/>
  <c r="H6" i="3"/>
  <c r="G2" i="3"/>
  <c r="C2" i="3"/>
  <c r="H4" i="2"/>
  <c r="H9" i="2"/>
  <c r="G7" i="2"/>
  <c r="G5" i="2"/>
  <c r="F3" i="2"/>
  <c r="F8" i="2"/>
  <c r="F2" i="2"/>
  <c r="E4" i="2"/>
  <c r="E9" i="2"/>
  <c r="D10" i="2"/>
  <c r="D9" i="2"/>
  <c r="C7" i="2"/>
  <c r="C10" i="2"/>
  <c r="B3" i="2"/>
  <c r="B9" i="2"/>
  <c r="B2" i="2"/>
  <c r="E4" i="3"/>
  <c r="B9" i="3"/>
  <c r="E2" i="3"/>
  <c r="H3" i="2"/>
  <c r="G8" i="2"/>
  <c r="F9" i="2"/>
  <c r="E7" i="2"/>
  <c r="D8" i="2"/>
  <c r="C9" i="2"/>
  <c r="D5" i="3"/>
  <c r="F7" i="3"/>
  <c r="G3" i="3"/>
  <c r="F10" i="3"/>
  <c r="D7" i="3"/>
  <c r="F9" i="3"/>
  <c r="D2" i="3"/>
  <c r="G3" i="2"/>
  <c r="F4" i="2"/>
  <c r="E5" i="2"/>
  <c r="C3" i="2"/>
  <c r="B5" i="2"/>
  <c r="C4" i="3"/>
  <c r="E6" i="3"/>
  <c r="G8" i="3"/>
  <c r="E3" i="3"/>
  <c r="H10" i="3"/>
  <c r="H4" i="3"/>
  <c r="C7" i="3"/>
  <c r="E9" i="3"/>
  <c r="D6" i="3"/>
  <c r="H3" i="3"/>
  <c r="C6" i="3"/>
  <c r="E8" i="3"/>
  <c r="G10" i="3"/>
  <c r="F8" i="3"/>
  <c r="F2" i="3"/>
  <c r="B2" i="3"/>
  <c r="H8" i="2"/>
  <c r="H6" i="2"/>
  <c r="G4" i="2"/>
  <c r="G9" i="2"/>
  <c r="F7" i="2"/>
  <c r="F5" i="2"/>
  <c r="E3" i="2"/>
  <c r="E8" i="2"/>
  <c r="E2" i="2"/>
  <c r="D4" i="2"/>
  <c r="D6" i="2"/>
  <c r="C6" i="2"/>
  <c r="C5" i="2"/>
  <c r="B4" i="2"/>
  <c r="B6" i="2"/>
  <c r="B8" i="3"/>
  <c r="B4" i="3"/>
  <c r="H10" i="2"/>
  <c r="F6" i="2"/>
  <c r="E6" i="2"/>
  <c r="C4" i="2"/>
  <c r="B10" i="2"/>
  <c r="H9" i="3"/>
  <c r="B6" i="3"/>
  <c r="D10" i="3"/>
  <c r="C5" i="3"/>
  <c r="H5" i="2"/>
  <c r="G2" i="2"/>
  <c r="E10" i="2"/>
  <c r="D5" i="2"/>
  <c r="C2" i="2"/>
  <c r="G4" i="3"/>
  <c r="B7" i="3"/>
  <c r="D9" i="3"/>
  <c r="G5" i="3"/>
  <c r="C3" i="3"/>
  <c r="E5" i="3"/>
  <c r="G7" i="3"/>
  <c r="B10" i="3"/>
  <c r="G6" i="3"/>
  <c r="G9" i="3"/>
  <c r="H2" i="2"/>
  <c r="G6" i="2"/>
  <c r="D3" i="2"/>
  <c r="D2" i="2"/>
  <c r="B8" i="2"/>
  <c r="E7" i="3"/>
  <c r="D8" i="3"/>
  <c r="B5" i="3"/>
  <c r="H2" i="3"/>
  <c r="H7" i="2"/>
  <c r="G10" i="2"/>
  <c r="F10" i="2"/>
  <c r="D7" i="2"/>
  <c r="C8" i="2"/>
  <c r="B7" i="2"/>
  <c r="A3" i="2" l="1"/>
  <c r="A2" i="2"/>
</calcChain>
</file>

<file path=xl/sharedStrings.xml><?xml version="1.0" encoding="utf-8"?>
<sst xmlns="http://schemas.openxmlformats.org/spreadsheetml/2006/main" count="68" uniqueCount="37">
  <si>
    <t>Material</t>
  </si>
  <si>
    <r>
      <t>E</t>
    </r>
    <r>
      <rPr>
        <b/>
        <vertAlign val="subscript"/>
        <sz val="12"/>
        <color theme="1"/>
        <rFont val="Calibri"/>
        <family val="2"/>
        <scheme val="minor"/>
      </rPr>
      <t>1</t>
    </r>
    <r>
      <rPr>
        <b/>
        <sz val="12"/>
        <color theme="1"/>
        <rFont val="Calibri"/>
        <family val="2"/>
        <scheme val="minor"/>
      </rPr>
      <t xml:space="preserve"> [Gpa]</t>
    </r>
  </si>
  <si>
    <r>
      <t>E</t>
    </r>
    <r>
      <rPr>
        <b/>
        <vertAlign val="subscript"/>
        <sz val="12"/>
        <color theme="1"/>
        <rFont val="Calibri"/>
        <family val="2"/>
        <scheme val="minor"/>
      </rPr>
      <t>2</t>
    </r>
    <r>
      <rPr>
        <b/>
        <sz val="12"/>
        <color theme="1"/>
        <rFont val="Calibri"/>
        <family val="2"/>
        <scheme val="minor"/>
      </rPr>
      <t xml:space="preserve"> [Gpa]</t>
    </r>
  </si>
  <si>
    <r>
      <t>G</t>
    </r>
    <r>
      <rPr>
        <b/>
        <vertAlign val="subscript"/>
        <sz val="12"/>
        <color theme="1"/>
        <rFont val="Calibri"/>
        <family val="2"/>
        <scheme val="minor"/>
      </rPr>
      <t>12</t>
    </r>
    <r>
      <rPr>
        <b/>
        <sz val="12"/>
        <color theme="1"/>
        <rFont val="Calibri"/>
        <family val="2"/>
        <scheme val="minor"/>
      </rPr>
      <t xml:space="preserve"> [Gpa]</t>
    </r>
  </si>
  <si>
    <r>
      <rPr>
        <b/>
        <sz val="12"/>
        <color theme="1"/>
        <rFont val="Calibri"/>
        <family val="2"/>
      </rPr>
      <t>ν</t>
    </r>
    <r>
      <rPr>
        <b/>
        <vertAlign val="subscript"/>
        <sz val="12"/>
        <color theme="1"/>
        <rFont val="Calibri"/>
        <family val="2"/>
        <scheme val="minor"/>
      </rPr>
      <t>12</t>
    </r>
    <r>
      <rPr>
        <b/>
        <sz val="12"/>
        <color theme="1"/>
        <rFont val="Calibri"/>
        <family val="2"/>
        <scheme val="minor"/>
      </rPr>
      <t xml:space="preserve"> [-]</t>
    </r>
  </si>
  <si>
    <r>
      <rPr>
        <b/>
        <sz val="12"/>
        <color theme="1"/>
        <rFont val="Calibri"/>
        <family val="2"/>
      </rPr>
      <t>ν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[-]</t>
    </r>
  </si>
  <si>
    <t>EP</t>
  </si>
  <si>
    <r>
      <t>G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[Gpa]</t>
    </r>
  </si>
  <si>
    <r>
      <t>K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[Gpa]</t>
    </r>
  </si>
  <si>
    <t>VFf [%]</t>
  </si>
  <si>
    <t>FIBER</t>
  </si>
  <si>
    <t>MATRIX</t>
  </si>
  <si>
    <t>Steel</t>
  </si>
  <si>
    <t>Carbon</t>
  </si>
  <si>
    <t>Glass</t>
  </si>
  <si>
    <t>Reference</t>
  </si>
  <si>
    <t>Linqi (insert ref)</t>
  </si>
  <si>
    <t>Carbon IM-7</t>
  </si>
  <si>
    <t>https://www.researchgate.net/publication/326191211_ANALYSIS_OF_FIBERMATRIX_INTERFACE_DEBONDING_IN_STEEL_FIBER_COMPOSITES_UNDER_TRANSVERSE_LOADING</t>
  </si>
  <si>
    <t>SiC</t>
  </si>
  <si>
    <t>Ti15</t>
  </si>
  <si>
    <t>https://www.sciencedirect.com/science/article/pii/004579499090395I</t>
  </si>
  <si>
    <t>6061-Al</t>
  </si>
  <si>
    <t>http://www.escm.eu.org/docs/eccm/C217.pdf</t>
  </si>
  <si>
    <t>SCS-2 SiC</t>
  </si>
  <si>
    <t>α</t>
  </si>
  <si>
    <t>β</t>
  </si>
  <si>
    <t>Plane STRESS</t>
  </si>
  <si>
    <t>Plane STRAIN</t>
  </si>
  <si>
    <t>k</t>
  </si>
  <si>
    <t>Name</t>
  </si>
  <si>
    <t>E* - plane strain [GPa]</t>
  </si>
  <si>
    <t>E* - plane stress [GPa]</t>
  </si>
  <si>
    <t>k [-]</t>
  </si>
  <si>
    <r>
      <rPr>
        <b/>
        <sz val="12"/>
        <color theme="1"/>
        <rFont val="Calibri"/>
        <family val="2"/>
      </rPr>
      <t>μ</t>
    </r>
    <r>
      <rPr>
        <b/>
        <sz val="12"/>
        <color theme="1"/>
        <rFont val="Calibri"/>
        <family val="2"/>
        <scheme val="minor"/>
      </rPr>
      <t xml:space="preserve"> [GPa]</t>
    </r>
  </si>
  <si>
    <t>βmin</t>
  </si>
  <si>
    <t>βmax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</si>
</sst>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%"/>
    <numFmt numFmtId="165" formatCode="0.0%"/>
    <numFmt numFmtId="166" formatCode="0.00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111111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5" fillId="0" borderId="0" xfId="0" applyFont="1"/>
    <xf numFmtId="0" fontId="0" fillId="0" borderId="0" xfId="0" applyAlignment="1">
      <alignment horizontal="center" vertical="center"/>
    </xf>
    <xf numFmtId="0" fontId="0" fillId="0" borderId="2" xfId="0" applyBorder="1"/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 wrapText="1"/>
    </xf>
    <xf numFmtId="0" fontId="0" fillId="0" borderId="0" xfId="0" applyBorder="1"/>
    <xf numFmtId="0" fontId="3" fillId="0" borderId="0" xfId="0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G16" sqref="G16"/>
    </sheetView>
  </sheetViews>
  <sheetFormatPr defaultRowHeight="15" x14ac:dyDescent="0.25"/>
  <cols>
    <col min="1" max="1" width="12" customWidth="1"/>
    <col min="2" max="2" width="10.140625" customWidth="1"/>
    <col min="3" max="3" width="10.42578125" customWidth="1"/>
    <col min="4" max="4" width="11.140625" customWidth="1"/>
    <col min="5" max="5" width="9.5703125" customWidth="1"/>
    <col min="6" max="7" width="10.28515625" customWidth="1"/>
    <col min="8" max="8" width="12.42578125" customWidth="1"/>
  </cols>
  <sheetData>
    <row r="1" spans="1:8" ht="19.5" thickBot="1" x14ac:dyDescent="0.3">
      <c r="A1" s="4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7</v>
      </c>
      <c r="H1" s="12" t="s">
        <v>15</v>
      </c>
    </row>
    <row r="2" spans="1:8" ht="15.75" x14ac:dyDescent="0.25">
      <c r="A2" s="9" t="s">
        <v>10</v>
      </c>
      <c r="B2" s="10"/>
      <c r="C2" s="10"/>
      <c r="D2" s="10"/>
      <c r="E2" s="10"/>
      <c r="F2" s="10"/>
      <c r="G2" s="10"/>
    </row>
    <row r="3" spans="1:8" x14ac:dyDescent="0.25">
      <c r="A3" s="5" t="s">
        <v>13</v>
      </c>
      <c r="B3" s="2">
        <v>500</v>
      </c>
      <c r="C3" s="2">
        <v>30</v>
      </c>
      <c r="D3" s="2">
        <v>20</v>
      </c>
      <c r="E3" s="2">
        <v>0.2</v>
      </c>
      <c r="F3" s="2">
        <v>0.45</v>
      </c>
      <c r="G3" s="2"/>
      <c r="H3" t="s">
        <v>16</v>
      </c>
    </row>
    <row r="4" spans="1:8" x14ac:dyDescent="0.25">
      <c r="A4" s="5" t="s">
        <v>17</v>
      </c>
      <c r="B4" s="2">
        <v>276</v>
      </c>
      <c r="C4" s="2">
        <v>10.3</v>
      </c>
      <c r="D4" s="2">
        <v>27.9</v>
      </c>
      <c r="E4" s="2">
        <v>0.26</v>
      </c>
      <c r="F4" s="2">
        <v>0.45</v>
      </c>
      <c r="G4" s="2">
        <v>3.8</v>
      </c>
      <c r="H4" s="13" t="s">
        <v>18</v>
      </c>
    </row>
    <row r="5" spans="1:8" x14ac:dyDescent="0.25">
      <c r="A5" s="5" t="s">
        <v>14</v>
      </c>
      <c r="B5" s="2">
        <v>70</v>
      </c>
      <c r="C5" s="2">
        <v>70</v>
      </c>
      <c r="D5" s="2">
        <v>29.2</v>
      </c>
      <c r="E5" s="2">
        <v>0.2</v>
      </c>
      <c r="F5" s="2">
        <v>0.2</v>
      </c>
      <c r="G5" s="2">
        <f>D5</f>
        <v>29.2</v>
      </c>
      <c r="H5" t="s">
        <v>16</v>
      </c>
    </row>
    <row r="6" spans="1:8" x14ac:dyDescent="0.25">
      <c r="A6" s="5" t="s">
        <v>14</v>
      </c>
      <c r="B6" s="2">
        <v>72</v>
      </c>
      <c r="C6" s="2">
        <v>72</v>
      </c>
      <c r="D6" s="2">
        <f>0.5*B6/(1+E6)</f>
        <v>28.8</v>
      </c>
      <c r="E6" s="2">
        <v>0.25</v>
      </c>
      <c r="F6" s="2">
        <v>0.25</v>
      </c>
      <c r="G6" s="2">
        <f t="shared" ref="G6:G13" si="0">D6</f>
        <v>28.8</v>
      </c>
      <c r="H6" t="s">
        <v>18</v>
      </c>
    </row>
    <row r="7" spans="1:8" x14ac:dyDescent="0.25">
      <c r="A7" s="5" t="s">
        <v>12</v>
      </c>
      <c r="B7" s="2">
        <v>193</v>
      </c>
      <c r="C7" s="2">
        <v>193</v>
      </c>
      <c r="D7" s="2">
        <f>0.5*B7/(1+E7)</f>
        <v>74.230769230769226</v>
      </c>
      <c r="E7" s="2">
        <v>0.3</v>
      </c>
      <c r="F7" s="2">
        <v>0.3</v>
      </c>
      <c r="G7" s="2">
        <f t="shared" si="0"/>
        <v>74.230769230769226</v>
      </c>
      <c r="H7" t="s">
        <v>18</v>
      </c>
    </row>
    <row r="8" spans="1:8" x14ac:dyDescent="0.25">
      <c r="A8" s="5" t="s">
        <v>19</v>
      </c>
      <c r="B8" s="2">
        <v>428</v>
      </c>
      <c r="C8" s="2">
        <v>428</v>
      </c>
      <c r="D8" s="2">
        <v>164</v>
      </c>
      <c r="E8" s="2">
        <v>0.3</v>
      </c>
      <c r="F8" s="2">
        <v>0.3</v>
      </c>
      <c r="G8" s="2">
        <f t="shared" si="0"/>
        <v>164</v>
      </c>
      <c r="H8" t="s">
        <v>21</v>
      </c>
    </row>
    <row r="9" spans="1:8" x14ac:dyDescent="0.25">
      <c r="A9" s="5" t="s">
        <v>24</v>
      </c>
      <c r="B9" s="2">
        <v>365</v>
      </c>
      <c r="C9" s="2">
        <v>365</v>
      </c>
      <c r="D9" s="2">
        <f>0.5*B9/(1+E9)</f>
        <v>149.59016393442624</v>
      </c>
      <c r="E9" s="2">
        <v>0.22</v>
      </c>
      <c r="F9" s="2">
        <v>0.22</v>
      </c>
      <c r="G9" s="2">
        <f t="shared" si="0"/>
        <v>149.59016393442624</v>
      </c>
      <c r="H9" t="s">
        <v>23</v>
      </c>
    </row>
    <row r="10" spans="1:8" x14ac:dyDescent="0.25">
      <c r="A10" s="11" t="s">
        <v>11</v>
      </c>
      <c r="B10" s="2"/>
      <c r="C10" s="2"/>
      <c r="D10" s="2"/>
      <c r="E10" s="2"/>
      <c r="F10" s="2"/>
      <c r="G10" s="2"/>
    </row>
    <row r="11" spans="1:8" x14ac:dyDescent="0.25">
      <c r="A11" s="5" t="s">
        <v>6</v>
      </c>
      <c r="B11" s="2">
        <v>3.5</v>
      </c>
      <c r="C11" s="2">
        <v>3.5</v>
      </c>
      <c r="D11" s="2">
        <v>1.25</v>
      </c>
      <c r="E11" s="2">
        <v>0.4</v>
      </c>
      <c r="F11" s="2">
        <v>0.4</v>
      </c>
      <c r="G11" s="2">
        <f t="shared" si="0"/>
        <v>1.25</v>
      </c>
      <c r="H11" t="s">
        <v>16</v>
      </c>
    </row>
    <row r="12" spans="1:8" x14ac:dyDescent="0.25">
      <c r="A12" s="5" t="s">
        <v>20</v>
      </c>
      <c r="B12" s="2">
        <v>85</v>
      </c>
      <c r="C12" s="2">
        <v>85</v>
      </c>
      <c r="D12" s="14">
        <v>32</v>
      </c>
      <c r="E12" s="2">
        <v>0.32</v>
      </c>
      <c r="F12" s="2">
        <v>0.32</v>
      </c>
      <c r="G12" s="2">
        <f t="shared" si="0"/>
        <v>32</v>
      </c>
      <c r="H12" t="s">
        <v>21</v>
      </c>
    </row>
    <row r="13" spans="1:8" x14ac:dyDescent="0.25">
      <c r="A13" s="5" t="s">
        <v>22</v>
      </c>
      <c r="B13" s="2">
        <v>69</v>
      </c>
      <c r="C13" s="2">
        <v>69</v>
      </c>
      <c r="D13" s="2">
        <f>0.5*B13/(1+E13)</f>
        <v>25.939849624060148</v>
      </c>
      <c r="E13" s="2">
        <v>0.33</v>
      </c>
      <c r="F13" s="2">
        <v>0.33</v>
      </c>
      <c r="G13" s="2">
        <f t="shared" si="0"/>
        <v>25.939849624060148</v>
      </c>
      <c r="H13" t="s">
        <v>23</v>
      </c>
    </row>
    <row r="14" spans="1:8" x14ac:dyDescent="0.25">
      <c r="A14" s="5"/>
      <c r="B14" s="14"/>
      <c r="C14" s="14"/>
      <c r="D14" s="14"/>
      <c r="E14" s="14"/>
      <c r="F14" s="14"/>
      <c r="G14" s="14"/>
    </row>
    <row r="15" spans="1:8" x14ac:dyDescent="0.25">
      <c r="A15" s="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"/>
  <sheetViews>
    <sheetView workbookViewId="0">
      <selection activeCell="D15" sqref="D15"/>
    </sheetView>
  </sheetViews>
  <sheetFormatPr defaultRowHeight="15" x14ac:dyDescent="0.25"/>
  <cols>
    <col min="1" max="1" width="10.42578125" customWidth="1"/>
    <col min="4" max="4" width="11" customWidth="1"/>
    <col min="5" max="5" width="20" customWidth="1"/>
    <col min="6" max="6" width="11" customWidth="1"/>
  </cols>
  <sheetData>
    <row r="1" spans="1:8" ht="24" customHeight="1" thickBot="1" x14ac:dyDescent="0.3">
      <c r="A1" s="4" t="s">
        <v>9</v>
      </c>
      <c r="B1" s="1" t="s">
        <v>1</v>
      </c>
      <c r="C1" s="1" t="s">
        <v>2</v>
      </c>
      <c r="D1" s="1" t="s">
        <v>3</v>
      </c>
      <c r="E1" s="1" t="s">
        <v>7</v>
      </c>
      <c r="F1" s="1" t="s">
        <v>8</v>
      </c>
      <c r="G1" s="1" t="s">
        <v>4</v>
      </c>
      <c r="H1" s="1" t="s">
        <v>5</v>
      </c>
    </row>
    <row r="2" spans="1:8" x14ac:dyDescent="0.25">
      <c r="A2" s="6">
        <f>0.25*PI()/(100*100)</f>
        <v>7.8539816339744827E-5</v>
      </c>
      <c r="B2" s="3">
        <f>EL(A2,PhasesData!$B$11,PhasesData!$E$11,PhasesData!$B$3,PhasesData!$C$3,PhasesData!$E$3,PhasesData!$F$3)</f>
        <v>3.5390100427713431</v>
      </c>
      <c r="C2" s="3">
        <f>ET(A2,PhasesData!$B$11,PhasesData!$E$11,PhasesData!$B$3,PhasesData!$C$3,PhasesData!$E$3,PhasesData!$F$3)</f>
        <v>3.5065360095551465</v>
      </c>
      <c r="D2" s="3">
        <f>GLT(A2,PhasesData!$B$11,PhasesData!$E$11,PhasesData!$D$3)</f>
        <v>1.2501732616018679</v>
      </c>
      <c r="E2" s="3">
        <f>GTT(A2,PhasesData!$B$11,PhasesData!$E$11,PhasesData!$B$3,PhasesData!$C$3,PhasesData!$E$3,PhasesData!$F$3)</f>
        <v>1.2501362160667215</v>
      </c>
      <c r="F2" s="3">
        <f>KTT(A2,PhasesData!$B$11,PhasesData!$E$11,PhasesData!$B$3,PhasesData!$C$3,PhasesData!$E$3,PhasesData!$F$3)</f>
        <v>6.2504354776422835</v>
      </c>
      <c r="G2" s="3">
        <f>nuLT(A2,PhasesData!$B$11,PhasesData!$E$11,PhasesData!$B$3,PhasesData!$C$3,PhasesData!$E$3,PhasesData!$F$3)</f>
        <v>0.39998196983352186</v>
      </c>
      <c r="H2" s="3">
        <f>nuTT(A2,PhasesData!$B$11,PhasesData!$E$11,PhasesData!$B$3,PhasesData!$C$3,PhasesData!$E$3,PhasesData!$F$3)</f>
        <v>0.40246157358263335</v>
      </c>
    </row>
    <row r="3" spans="1:8" x14ac:dyDescent="0.25">
      <c r="A3" s="7">
        <f>0.25*PI()/(28*28)</f>
        <v>1.0017833716804187E-3</v>
      </c>
      <c r="B3" s="3">
        <f>EL(A3,PhasesData!$B$11,PhasesData!$E$11,PhasesData!$B$3,PhasesData!$C$3,PhasesData!$E$3,PhasesData!$F$3)</f>
        <v>3.9975768730981223</v>
      </c>
      <c r="C3" s="3">
        <f>ET(A3,PhasesData!$B$11,PhasesData!$E$11,PhasesData!$B$3,PhasesData!$C$3,PhasesData!$E$3,PhasesData!$F$3)</f>
        <v>3.5757080976369431</v>
      </c>
      <c r="D3" s="3">
        <f>GLT(A3,PhasesData!$B$11,PhasesData!$E$11,PhasesData!$D$3)</f>
        <v>1.2522117713043375</v>
      </c>
      <c r="E3" s="3">
        <f>GTT(A3,PhasesData!$B$11,PhasesData!$E$11,PhasesData!$B$3,PhasesData!$C$3,PhasesData!$E$3,PhasesData!$F$3)</f>
        <v>1.2517387508342614</v>
      </c>
      <c r="F3" s="3">
        <f>KTT(A3,PhasesData!$B$11,PhasesData!$E$11,PhasesData!$B$3,PhasesData!$C$3,PhasesData!$E$3,PhasesData!$F$3)</f>
        <v>6.2555583555891134</v>
      </c>
      <c r="G3" s="3">
        <f>nuLT(A3,PhasesData!$B$11,PhasesData!$E$11,PhasesData!$B$3,PhasesData!$C$3,PhasesData!$E$3,PhasesData!$F$3)</f>
        <v>0.3997700547741429</v>
      </c>
      <c r="H3" s="3">
        <f>nuTT(A3,PhasesData!$B$11,PhasesData!$E$11,PhasesData!$B$3,PhasesData!$C$3,PhasesData!$E$3,PhasesData!$F$3)</f>
        <v>0.42829647770103696</v>
      </c>
    </row>
    <row r="4" spans="1:8" x14ac:dyDescent="0.25">
      <c r="A4" s="8">
        <v>0.2</v>
      </c>
      <c r="B4" s="3">
        <f>EL(A4,PhasesData!$B$11,PhasesData!$E$11,PhasesData!$B$3,PhasesData!$C$3,PhasesData!$E$3,PhasesData!$F$3)</f>
        <v>102.82973019844907</v>
      </c>
      <c r="C4" s="3">
        <f>ET(A4,PhasesData!$B$11,PhasesData!$E$11,PhasesData!$B$3,PhasesData!$C$3,PhasesData!$E$3,PhasesData!$F$3)</f>
        <v>5.4529881265623779</v>
      </c>
      <c r="D4" s="3">
        <f>GLT(A4,PhasesData!$B$11,PhasesData!$E$11,PhasesData!$D$3)</f>
        <v>1.7857142857142856</v>
      </c>
      <c r="E4" s="3">
        <f>GTT(A4,PhasesData!$B$11,PhasesData!$E$11,PhasesData!$B$3,PhasesData!$C$3,PhasesData!$E$3,PhasesData!$F$3)</f>
        <v>1.6772864311526807</v>
      </c>
      <c r="F4" s="3">
        <f>KTT(A4,PhasesData!$B$11,PhasesData!$E$11,PhasesData!$B$3,PhasesData!$C$3,PhasesData!$E$3,PhasesData!$F$3)</f>
        <v>7.5512609443987149</v>
      </c>
      <c r="G4" s="3">
        <f>nuLT(A4,PhasesData!$B$11,PhasesData!$E$11,PhasesData!$B$3,PhasesData!$C$3,PhasesData!$E$3,PhasesData!$F$3)</f>
        <v>0.3554047023263881</v>
      </c>
      <c r="H4" s="3">
        <f>nuTT(A4,PhasesData!$B$11,PhasesData!$E$11,PhasesData!$B$3,PhasesData!$C$3,PhasesData!$E$3,PhasesData!$F$3)</f>
        <v>0.62553873485249722</v>
      </c>
    </row>
    <row r="5" spans="1:8" x14ac:dyDescent="0.25">
      <c r="A5" s="8">
        <v>0.3</v>
      </c>
      <c r="B5" s="3">
        <f>EL(A5,PhasesData!$B$11,PhasesData!$E$11,PhasesData!$B$3,PhasesData!$C$3,PhasesData!$E$3,PhasesData!$F$3)</f>
        <v>152.48846846654311</v>
      </c>
      <c r="C5" s="3">
        <f>ET(A5,PhasesData!$B$11,PhasesData!$E$11,PhasesData!$B$3,PhasesData!$C$3,PhasesData!$E$3,PhasesData!$F$3)</f>
        <v>6.3831518918996135</v>
      </c>
      <c r="D5" s="3">
        <f>GLT(A5,PhasesData!$B$11,PhasesData!$E$11,PhasesData!$D$3)</f>
        <v>2.15</v>
      </c>
      <c r="E5" s="3">
        <f>GTT(A5,PhasesData!$B$11,PhasesData!$E$11,PhasesData!$B$3,PhasesData!$C$3,PhasesData!$E$3,PhasesData!$F$3)</f>
        <v>1.9821817072861816</v>
      </c>
      <c r="F5" s="3">
        <f>KTT(A5,PhasesData!$B$11,PhasesData!$E$11,PhasesData!$B$3,PhasesData!$C$3,PhasesData!$E$3,PhasesData!$F$3)</f>
        <v>8.3873041073440557</v>
      </c>
      <c r="G5" s="3">
        <f>nuLT(A5,PhasesData!$B$11,PhasesData!$E$11,PhasesData!$B$3,PhasesData!$C$3,PhasesData!$E$3,PhasesData!$F$3)</f>
        <v>0.33405405735465177</v>
      </c>
      <c r="H5" s="3">
        <f>nuTT(A5,PhasesData!$B$11,PhasesData!$E$11,PhasesData!$B$3,PhasesData!$C$3,PhasesData!$E$3,PhasesData!$F$3)</f>
        <v>0.61013288247898068</v>
      </c>
    </row>
    <row r="6" spans="1:8" x14ac:dyDescent="0.25">
      <c r="A6" s="8">
        <v>0.4</v>
      </c>
      <c r="B6" s="3">
        <f>EL(A6,PhasesData!$B$11,PhasesData!$E$11,PhasesData!$B$3,PhasesData!$C$3,PhasesData!$E$3,PhasesData!$F$3)</f>
        <v>202.14335025197335</v>
      </c>
      <c r="C6" s="3">
        <f>ET(A6,PhasesData!$B$11,PhasesData!$E$11,PhasesData!$B$3,PhasesData!$C$3,PhasesData!$E$3,PhasesData!$F$3)</f>
        <v>7.5699527527042649</v>
      </c>
      <c r="D6" s="3">
        <f>GLT(A6,PhasesData!$B$11,PhasesData!$E$11,PhasesData!$D$3)</f>
        <v>2.6136363636363638</v>
      </c>
      <c r="E6" s="3">
        <f>GTT(A6,PhasesData!$B$11,PhasesData!$E$11,PhasesData!$B$3,PhasesData!$C$3,PhasesData!$E$3,PhasesData!$F$3)</f>
        <v>2.3805748977708676</v>
      </c>
      <c r="F6" s="3">
        <f>KTT(A6,PhasesData!$B$11,PhasesData!$E$11,PhasesData!$B$3,PhasesData!$C$3,PhasesData!$E$3,PhasesData!$F$3)</f>
        <v>9.3988523699578987</v>
      </c>
      <c r="G6" s="3">
        <f>nuLT(A6,PhasesData!$B$11,PhasesData!$E$11,PhasesData!$B$3,PhasesData!$C$3,PhasesData!$E$3,PhasesData!$F$3)</f>
        <v>0.3132994960533208</v>
      </c>
      <c r="H6" s="3">
        <f>nuTT(A6,PhasesData!$B$11,PhasesData!$E$11,PhasesData!$B$3,PhasesData!$C$3,PhasesData!$E$3,PhasesData!$F$3)</f>
        <v>0.58994215216514467</v>
      </c>
    </row>
    <row r="7" spans="1:8" x14ac:dyDescent="0.25">
      <c r="A7" s="8">
        <v>0.5</v>
      </c>
      <c r="B7" s="3">
        <f>EL(A7,PhasesData!$B$11,PhasesData!$E$11,PhasesData!$B$3,PhasesData!$C$3,PhasesData!$E$3,PhasesData!$F$3)</f>
        <v>251.7945348336624</v>
      </c>
      <c r="C7" s="3">
        <f>ET(A7,PhasesData!$B$11,PhasesData!$E$11,PhasesData!$B$3,PhasesData!$C$3,PhasesData!$E$3,PhasesData!$F$3)</f>
        <v>9.0931924051310489</v>
      </c>
      <c r="D7" s="3">
        <f>GLT(A7,PhasesData!$B$11,PhasesData!$E$11,PhasesData!$D$3)</f>
        <v>3.2236842105263159</v>
      </c>
      <c r="E7" s="3">
        <f>GTT(A7,PhasesData!$B$11,PhasesData!$E$11,PhasesData!$B$3,PhasesData!$C$3,PhasesData!$E$3,PhasesData!$F$3)</f>
        <v>2.9018545943126512</v>
      </c>
      <c r="F7" s="3">
        <f>KTT(A7,PhasesData!$B$11,PhasesData!$E$11,PhasesData!$B$3,PhasesData!$C$3,PhasesData!$E$3,PhasesData!$F$3)</f>
        <v>10.647650539945881</v>
      </c>
      <c r="G7" s="3">
        <f>nuLT(A7,PhasesData!$B$11,PhasesData!$E$11,PhasesData!$B$3,PhasesData!$C$3,PhasesData!$E$3,PhasesData!$F$3)</f>
        <v>0.29311639921024901</v>
      </c>
      <c r="H7" s="3">
        <f>nuTT(A7,PhasesData!$B$11,PhasesData!$E$11,PhasesData!$B$3,PhasesData!$C$3,PhasesData!$E$3,PhasesData!$F$3)</f>
        <v>0.56678980796501821</v>
      </c>
    </row>
    <row r="8" spans="1:8" x14ac:dyDescent="0.25">
      <c r="A8" s="8">
        <v>0.55000000000000004</v>
      </c>
      <c r="B8" s="3">
        <f>EL(A8,PhasesData!$B$11,PhasesData!$E$11,PhasesData!$B$3,PhasesData!$C$3,PhasesData!$E$3,PhasesData!$F$3)</f>
        <v>276.61878806576169</v>
      </c>
      <c r="C8" s="3">
        <f>ET(A8,PhasesData!$B$11,PhasesData!$E$11,PhasesData!$B$3,PhasesData!$C$3,PhasesData!$E$3,PhasesData!$F$3)</f>
        <v>10.009582677677608</v>
      </c>
      <c r="D8" s="3">
        <f>GLT(A8,PhasesData!$B$11,PhasesData!$E$11,PhasesData!$D$3)</f>
        <v>3.6071428571428572</v>
      </c>
      <c r="E8" s="3">
        <f>GTT(A8,PhasesData!$B$11,PhasesData!$E$11,PhasesData!$B$3,PhasesData!$C$3,PhasesData!$E$3,PhasesData!$F$3)</f>
        <v>3.2190472977578515</v>
      </c>
      <c r="F8" s="3">
        <f>KTT(A8,PhasesData!$B$11,PhasesData!$E$11,PhasesData!$B$3,PhasesData!$C$3,PhasesData!$E$3,PhasesData!$F$3)</f>
        <v>11.38872657666734</v>
      </c>
      <c r="G8" s="3">
        <f>nuLT(A8,PhasesData!$B$11,PhasesData!$E$11,PhasesData!$B$3,PhasesData!$C$3,PhasesData!$E$3,PhasesData!$F$3)</f>
        <v>0.28323182463543123</v>
      </c>
      <c r="H8" s="3">
        <f>nuTT(A8,PhasesData!$B$11,PhasesData!$E$11,PhasesData!$B$3,PhasesData!$C$3,PhasesData!$E$3,PhasesData!$F$3)</f>
        <v>0.55474302671003595</v>
      </c>
    </row>
    <row r="9" spans="1:8" x14ac:dyDescent="0.25">
      <c r="A9" s="8">
        <v>0.6</v>
      </c>
      <c r="B9" s="3">
        <f>EL(A9,PhasesData!$B$11,PhasesData!$E$11,PhasesData!$B$3,PhasesData!$C$3,PhasesData!$E$3,PhasesData!$F$3)</f>
        <v>301.44217283834917</v>
      </c>
      <c r="C9" s="3">
        <f>ET(A9,PhasesData!$B$11,PhasesData!$E$11,PhasesData!$B$3,PhasesData!$C$3,PhasesData!$E$3,PhasesData!$F$3)</f>
        <v>11.04813432040255</v>
      </c>
      <c r="D9" s="3">
        <f>GLT(A9,PhasesData!$B$11,PhasesData!$E$11,PhasesData!$D$3)</f>
        <v>4.0625</v>
      </c>
      <c r="E9" s="3">
        <f>GTT(A9,PhasesData!$B$11,PhasesData!$E$11,PhasesData!$B$3,PhasesData!$C$3,PhasesData!$E$3,PhasesData!$F$3)</f>
        <v>3.580612814238068</v>
      </c>
      <c r="F9" s="3">
        <f>KTT(A9,PhasesData!$B$11,PhasesData!$E$11,PhasesData!$B$3,PhasesData!$C$3,PhasesData!$E$3,PhasesData!$F$3)</f>
        <v>12.228254641301856</v>
      </c>
      <c r="G9" s="3">
        <f>nuLT(A9,PhasesData!$B$11,PhasesData!$E$11,PhasesData!$B$3,PhasesData!$C$3,PhasesData!$E$3,PhasesData!$F$3)</f>
        <v>0.27348148495249702</v>
      </c>
      <c r="H9" s="3">
        <f>nuTT(A9,PhasesData!$B$11,PhasesData!$E$11,PhasesData!$B$3,PhasesData!$C$3,PhasesData!$E$3,PhasesData!$F$3)</f>
        <v>0.54277143237470149</v>
      </c>
    </row>
    <row r="10" spans="1:8" x14ac:dyDescent="0.25">
      <c r="A10" s="8">
        <v>0.65</v>
      </c>
      <c r="B10" s="3">
        <f>EL(A10,PhasesData!$B$11,PhasesData!$E$11,PhasesData!$B$3,PhasesData!$C$3,PhasesData!$E$3,PhasesData!$F$3)</f>
        <v>326.26470672294454</v>
      </c>
      <c r="C10" s="3">
        <f>ET(A10,PhasesData!$B$11,PhasesData!$E$11,PhasesData!$B$3,PhasesData!$C$3,PhasesData!$E$3,PhasesData!$F$3)</f>
        <v>12.227676246306691</v>
      </c>
      <c r="D10" s="3">
        <f>GLT(A10,PhasesData!$B$11,PhasesData!$E$11,PhasesData!$D$3)</f>
        <v>4.612068965517242</v>
      </c>
      <c r="E10" s="3">
        <f>GTT(A10,PhasesData!$B$11,PhasesData!$E$11,PhasesData!$B$3,PhasesData!$C$3,PhasesData!$E$3,PhasesData!$F$3)</f>
        <v>3.992934987874456</v>
      </c>
      <c r="F10" s="3">
        <f>KTT(A10,PhasesData!$B$11,PhasesData!$E$11,PhasesData!$B$3,PhasesData!$C$3,PhasesData!$E$3,PhasesData!$F$3)</f>
        <v>13.187249696951101</v>
      </c>
      <c r="G10" s="3">
        <f>nuLT(A10,PhasesData!$B$11,PhasesData!$E$11,PhasesData!$B$3,PhasesData!$C$3,PhasesData!$E$3,PhasesData!$F$3)</f>
        <v>0.26386266419020832</v>
      </c>
      <c r="H10" s="3">
        <f>nuTT(A10,PhasesData!$B$11,PhasesData!$E$11,PhasesData!$B$3,PhasesData!$C$3,PhasesData!$E$3,PhasesData!$F$3)</f>
        <v>0.53116395376321957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0"/>
  <sheetViews>
    <sheetView workbookViewId="0">
      <selection activeCell="E14" sqref="E14"/>
    </sheetView>
  </sheetViews>
  <sheetFormatPr defaultRowHeight="15" x14ac:dyDescent="0.25"/>
  <cols>
    <col min="1" max="1" width="10.42578125" customWidth="1"/>
    <col min="4" max="4" width="11" customWidth="1"/>
    <col min="5" max="5" width="14" customWidth="1"/>
    <col min="6" max="6" width="11" customWidth="1"/>
  </cols>
  <sheetData>
    <row r="1" spans="1:8" ht="24" customHeight="1" thickBot="1" x14ac:dyDescent="0.3">
      <c r="A1" s="4" t="s">
        <v>9</v>
      </c>
      <c r="B1" s="1" t="s">
        <v>1</v>
      </c>
      <c r="C1" s="1" t="s">
        <v>2</v>
      </c>
      <c r="D1" s="1" t="s">
        <v>3</v>
      </c>
      <c r="E1" s="1" t="s">
        <v>7</v>
      </c>
      <c r="F1" s="1" t="s">
        <v>8</v>
      </c>
      <c r="G1" s="1" t="s">
        <v>4</v>
      </c>
      <c r="H1" s="1" t="s">
        <v>5</v>
      </c>
    </row>
    <row r="2" spans="1:8" x14ac:dyDescent="0.25">
      <c r="A2" s="6">
        <f>0.25*PI()/(100*100)</f>
        <v>7.8539816339744827E-5</v>
      </c>
      <c r="B2" s="3">
        <f>EL(A2,PhasesData!$B$11,PhasesData!$E$11,PhasesData!$B$5,PhasesData!$C$5,PhasesData!$E$3,PhasesData!$F$5)</f>
        <v>3.5052382105497859</v>
      </c>
      <c r="C2" s="3">
        <f>ET(A2,PhasesData!$B$11,PhasesData!$E$11,PhasesData!$B$5,PhasesData!$C$5,PhasesData!$E$3,PhasesData!$F$5)</f>
        <v>3.5012342435218726</v>
      </c>
      <c r="D2" s="3">
        <f>GLT(A2,PhasesData!$B$11,PhasesData!$E$11,PhasesData!$D$5)</f>
        <v>1.250180241882809</v>
      </c>
      <c r="E2" s="3">
        <f>GTT(A2,PhasesData!$B$11,PhasesData!$E$11,PhasesData!$B$5,PhasesData!$C$5,PhasesData!$E$5,PhasesData!$F$5)</f>
        <v>1.2501563134136551</v>
      </c>
      <c r="F2" s="3">
        <f>KTT(A2,PhasesData!$B$11,PhasesData!$E$11,PhasesData!$B$5,PhasesData!$C$5,PhasesData!$E$5,PhasesData!$F$5)</f>
        <v>6.2505004786035219</v>
      </c>
      <c r="G2" s="3">
        <f>nuLT(A2,PhasesData!$B$11,PhasesData!$E$11,PhasesData!$B$5,PhasesData!$C$5,PhasesData!$E$5,PhasesData!$F$5)</f>
        <v>0.39998162324086134</v>
      </c>
      <c r="H2" s="3">
        <f>nuTT(A2,PhasesData!$B$11,PhasesData!$E$11,PhasesData!$B$5,PhasesData!$C$5,PhasesData!$E$5,PhasesData!$F$5)</f>
        <v>0.40031858654597485</v>
      </c>
    </row>
    <row r="3" spans="1:8" x14ac:dyDescent="0.25">
      <c r="A3" s="7">
        <f>0.25*PI()/(28*28)</f>
        <v>1.0017833716804187E-3</v>
      </c>
      <c r="B3" s="3">
        <f>EL(A3,PhasesData!$B$11,PhasesData!$E$11,PhasesData!$B$5,PhasesData!$C$5,PhasesData!$E$3,PhasesData!$F$5)</f>
        <v>3.5668136991290007</v>
      </c>
      <c r="C3" s="3">
        <f>ET(A3,PhasesData!$B$11,PhasesData!$E$11,PhasesData!$B$5,PhasesData!$C$5,PhasesData!$E$3,PhasesData!$F$5)</f>
        <v>3.5156082885888544</v>
      </c>
      <c r="D3" s="3">
        <f>GLT(A3,PhasesData!$B$11,PhasesData!$E$11,PhasesData!$D$5)</f>
        <v>1.2523009536762892</v>
      </c>
      <c r="E3" s="3">
        <f>GTT(A3,PhasesData!$B$11,PhasesData!$E$11,PhasesData!$B$5,PhasesData!$C$5,PhasesData!$E$5,PhasesData!$F$5)</f>
        <v>1.2519955072929756</v>
      </c>
      <c r="F3" s="3">
        <f>KTT(A3,PhasesData!$B$11,PhasesData!$E$11,PhasesData!$B$5,PhasesData!$C$5,PhasesData!$E$5,PhasesData!$F$5)</f>
        <v>6.2563886670784266</v>
      </c>
      <c r="G3" s="3">
        <f>nuLT(A3,PhasesData!$B$11,PhasesData!$E$11,PhasesData!$B$5,PhasesData!$C$5,PhasesData!$E$5,PhasesData!$F$5)</f>
        <v>0.39976563932667131</v>
      </c>
      <c r="H3" s="3">
        <f>nuTT(A3,PhasesData!$B$11,PhasesData!$E$11,PhasesData!$B$5,PhasesData!$C$5,PhasesData!$E$5,PhasesData!$F$5)</f>
        <v>0.40400195851748277</v>
      </c>
    </row>
    <row r="4" spans="1:8" x14ac:dyDescent="0.25">
      <c r="A4" s="8">
        <v>0.2</v>
      </c>
      <c r="B4" s="3">
        <f>EL(A4,PhasesData!$B$11,PhasesData!$E$11,PhasesData!$B$5,PhasesData!$C$5,PhasesData!$E$3,PhasesData!$F$5)</f>
        <v>16.830172413793104</v>
      </c>
      <c r="C4" s="3">
        <f>ET(A4,PhasesData!$B$11,PhasesData!$E$11,PhasesData!$B$5,PhasesData!$C$5,PhasesData!$E$3,PhasesData!$F$5)</f>
        <v>5.5075491440714401</v>
      </c>
      <c r="D4" s="3">
        <f>GLT(A4,PhasesData!$B$11,PhasesData!$E$11,PhasesData!$D$5)</f>
        <v>1.8121480289621883</v>
      </c>
      <c r="E4" s="3">
        <f>GTT(A4,PhasesData!$B$11,PhasesData!$E$11,PhasesData!$B$5,PhasesData!$C$5,PhasesData!$E$5,PhasesData!$F$5)</f>
        <v>1.7608143220560293</v>
      </c>
      <c r="F4" s="3">
        <f>KTT(A4,PhasesData!$B$11,PhasesData!$E$11,PhasesData!$B$5,PhasesData!$C$5,PhasesData!$E$5,PhasesData!$F$5)</f>
        <v>7.7852348993288603</v>
      </c>
      <c r="G4" s="3">
        <f>nuLT(A4,PhasesData!$B$11,PhasesData!$E$11,PhasesData!$B$5,PhasesData!$C$5,PhasesData!$E$5,PhasesData!$F$5)</f>
        <v>0.35474137931034494</v>
      </c>
      <c r="H4" s="3">
        <f>nuTT(A4,PhasesData!$B$11,PhasesData!$E$11,PhasesData!$B$5,PhasesData!$C$5,PhasesData!$E$5,PhasesData!$F$5)</f>
        <v>0.56392104354322425</v>
      </c>
    </row>
    <row r="5" spans="1:8" x14ac:dyDescent="0.25">
      <c r="A5" s="8">
        <v>0.3</v>
      </c>
      <c r="B5" s="3">
        <f>EL(A5,PhasesData!$B$11,PhasesData!$E$11,PhasesData!$B$5,PhasesData!$C$5,PhasesData!$E$3,PhasesData!$F$5)</f>
        <v>23.488961038961037</v>
      </c>
      <c r="C5" s="3">
        <f>ET(A5,PhasesData!$B$11,PhasesData!$E$11,PhasesData!$B$5,PhasesData!$C$5,PhasesData!$E$3,PhasesData!$F$5)</f>
        <v>6.7099213568026839</v>
      </c>
      <c r="D5" s="3">
        <f>GLT(A5,PhasesData!$B$11,PhasesData!$E$11,PhasesData!$D$5)</f>
        <v>2.2000339904826651</v>
      </c>
      <c r="E5" s="3">
        <f>GTT(A5,PhasesData!$B$11,PhasesData!$E$11,PhasesData!$B$5,PhasesData!$C$5,PhasesData!$E$5,PhasesData!$F$5)</f>
        <v>2.1561612190176525</v>
      </c>
      <c r="F5" s="3">
        <f>KTT(A5,PhasesData!$B$11,PhasesData!$E$11,PhasesData!$B$5,PhasesData!$C$5,PhasesData!$E$5,PhasesData!$F$5)</f>
        <v>8.8154205607476648</v>
      </c>
      <c r="G5" s="3">
        <f>nuLT(A5,PhasesData!$B$11,PhasesData!$E$11,PhasesData!$B$5,PhasesData!$C$5,PhasesData!$E$5,PhasesData!$F$5)</f>
        <v>0.33320964749536175</v>
      </c>
      <c r="H5" s="3">
        <f>nuTT(A5,PhasesData!$B$11,PhasesData!$E$11,PhasesData!$B$5,PhasesData!$C$5,PhasesData!$E$5,PhasesData!$F$5)</f>
        <v>0.55598785879743384</v>
      </c>
    </row>
    <row r="6" spans="1:8" x14ac:dyDescent="0.25">
      <c r="A6" s="8">
        <v>0.4</v>
      </c>
      <c r="B6" s="3">
        <f>EL(A6,PhasesData!$B$11,PhasesData!$E$11,PhasesData!$B$5,PhasesData!$C$5,PhasesData!$E$3,PhasesData!$F$5)</f>
        <v>30.143818466353679</v>
      </c>
      <c r="C6" s="3">
        <f>ET(A6,PhasesData!$B$11,PhasesData!$E$11,PhasesData!$B$5,PhasesData!$C$5,PhasesData!$E$3,PhasesData!$F$5)</f>
        <v>8.3292835081196124</v>
      </c>
      <c r="D6" s="3">
        <f>GLT(A6,PhasesData!$B$11,PhasesData!$E$11,PhasesData!$D$5)</f>
        <v>2.7004411001556825</v>
      </c>
      <c r="E6" s="3">
        <f>GTT(A6,PhasesData!$B$11,PhasesData!$E$11,PhasesData!$B$5,PhasesData!$C$5,PhasesData!$E$5,PhasesData!$F$5)</f>
        <v>2.7145772231312284</v>
      </c>
      <c r="F6" s="3">
        <f>KTT(A6,PhasesData!$B$11,PhasesData!$E$11,PhasesData!$B$5,PhasesData!$C$5,PhasesData!$E$5,PhasesData!$F$5)</f>
        <v>10.110759493670889</v>
      </c>
      <c r="G6" s="3">
        <f>nuLT(A6,PhasesData!$B$11,PhasesData!$E$11,PhasesData!$B$5,PhasesData!$C$5,PhasesData!$E$5,PhasesData!$F$5)</f>
        <v>0.31236306729264479</v>
      </c>
      <c r="H6" s="3">
        <f>nuTT(A6,PhasesData!$B$11,PhasesData!$E$11,PhasesData!$B$5,PhasesData!$C$5,PhasesData!$E$5,PhasesData!$F$5)</f>
        <v>0.53417693133664024</v>
      </c>
    </row>
    <row r="7" spans="1:8" x14ac:dyDescent="0.25">
      <c r="A7" s="8">
        <v>0.5</v>
      </c>
      <c r="B7" s="3">
        <f>EL(A7,PhasesData!$B$11,PhasesData!$E$11,PhasesData!$B$5,PhasesData!$C$5,PhasesData!$E$3,PhasesData!$F$5)</f>
        <v>36.79492939666239</v>
      </c>
      <c r="C7" s="3">
        <f>ET(A7,PhasesData!$B$11,PhasesData!$E$11,PhasesData!$B$5,PhasesData!$C$5,PhasesData!$E$3,PhasesData!$F$5)</f>
        <v>10.568683351661271</v>
      </c>
      <c r="D7" s="3">
        <f>GLT(A7,PhasesData!$B$11,PhasesData!$E$11,PhasesData!$D$5)</f>
        <v>3.3706373292867982</v>
      </c>
      <c r="E7" s="3">
        <f>GTT(A7,PhasesData!$B$11,PhasesData!$E$11,PhasesData!$B$5,PhasesData!$C$5,PhasesData!$E$5,PhasesData!$F$5)</f>
        <v>3.5165441427769983</v>
      </c>
      <c r="F7" s="3">
        <f>KTT(A7,PhasesData!$B$11,PhasesData!$E$11,PhasesData!$B$5,PhasesData!$C$5,PhasesData!$E$5,PhasesData!$F$5)</f>
        <v>11.788740920096854</v>
      </c>
      <c r="G7" s="3">
        <f>nuLT(A7,PhasesData!$B$11,PhasesData!$E$11,PhasesData!$B$5,PhasesData!$C$5,PhasesData!$E$5,PhasesData!$F$5)</f>
        <v>0.29216944801026962</v>
      </c>
      <c r="H7" s="3">
        <f>nuTT(A7,PhasesData!$B$11,PhasesData!$E$11,PhasesData!$B$5,PhasesData!$C$5,PhasesData!$E$5,PhasesData!$F$5)</f>
        <v>0.50270875646043089</v>
      </c>
    </row>
    <row r="8" spans="1:8" x14ac:dyDescent="0.25">
      <c r="A8" s="8">
        <v>0.55000000000000004</v>
      </c>
      <c r="B8" s="3">
        <f>EL(A8,PhasesData!$B$11,PhasesData!$E$11,PhasesData!$B$5,PhasesData!$C$5,PhasesData!$E$3,PhasesData!$F$5)</f>
        <v>40.119134505158584</v>
      </c>
      <c r="C8" s="3">
        <f>ET(A8,PhasesData!$B$11,PhasesData!$E$11,PhasesData!$B$5,PhasesData!$C$5,PhasesData!$E$3,PhasesData!$F$5)</f>
        <v>12.004927225593008</v>
      </c>
      <c r="D8" s="3">
        <f>GLT(A8,PhasesData!$B$11,PhasesData!$E$11,PhasesData!$D$5)</f>
        <v>3.7989139446194664</v>
      </c>
      <c r="E8" s="3">
        <f>GTT(A8,PhasesData!$B$11,PhasesData!$E$11,PhasesData!$B$5,PhasesData!$C$5,PhasesData!$E$5,PhasesData!$F$5)</f>
        <v>4.0436952756902649</v>
      </c>
      <c r="F8" s="3">
        <f>KTT(A8,PhasesData!$B$11,PhasesData!$E$11,PhasesData!$B$5,PhasesData!$C$5,PhasesData!$E$5,PhasesData!$F$5)</f>
        <v>12.828431372549021</v>
      </c>
      <c r="G8" s="3">
        <f>nuLT(A8,PhasesData!$B$11,PhasesData!$E$11,PhasesData!$B$5,PhasesData!$C$5,PhasesData!$E$5,PhasesData!$F$5)</f>
        <v>0.28230798624379061</v>
      </c>
      <c r="H8" s="3">
        <f>nuTT(A8,PhasesData!$B$11,PhasesData!$E$11,PhasesData!$B$5,PhasesData!$C$5,PhasesData!$E$5,PhasesData!$F$5)</f>
        <v>0.48440058005406317</v>
      </c>
    </row>
    <row r="9" spans="1:8" x14ac:dyDescent="0.25">
      <c r="A9" s="8">
        <v>0.6</v>
      </c>
      <c r="B9" s="3">
        <f>EL(A9,PhasesData!$B$11,PhasesData!$E$11,PhasesData!$B$5,PhasesData!$C$5,PhasesData!$E$3,PhasesData!$F$5)</f>
        <v>43.44246713852376</v>
      </c>
      <c r="C9" s="3">
        <f>ET(A9,PhasesData!$B$11,PhasesData!$E$11,PhasesData!$B$5,PhasesData!$C$5,PhasesData!$E$3,PhasesData!$F$5)</f>
        <v>13.714481182774906</v>
      </c>
      <c r="D9" s="3">
        <f>GLT(A9,PhasesData!$B$11,PhasesData!$E$11,PhasesData!$D$5)</f>
        <v>4.3146929824561404</v>
      </c>
      <c r="E9" s="3">
        <f>GTT(A9,PhasesData!$B$11,PhasesData!$E$11,PhasesData!$B$5,PhasesData!$C$5,PhasesData!$E$5,PhasesData!$F$5)</f>
        <v>4.6808295679436451</v>
      </c>
      <c r="F9" s="3">
        <f>KTT(A9,PhasesData!$B$11,PhasesData!$E$11,PhasesData!$B$5,PhasesData!$C$5,PhasesData!$E$5,PhasesData!$F$5)</f>
        <v>14.048295454545455</v>
      </c>
      <c r="G9" s="3">
        <f>nuLT(A9,PhasesData!$B$11,PhasesData!$E$11,PhasesData!$B$5,PhasesData!$C$5,PhasesData!$E$5,PhasesData!$F$5)</f>
        <v>0.27259858442871593</v>
      </c>
      <c r="H9" s="3">
        <f>nuTT(A9,PhasesData!$B$11,PhasesData!$E$11,PhasesData!$B$5,PhasesData!$C$5,PhasesData!$E$5,PhasesData!$F$5)</f>
        <v>0.46496267207608155</v>
      </c>
    </row>
    <row r="10" spans="1:8" x14ac:dyDescent="0.25">
      <c r="A10" s="8">
        <v>0.65</v>
      </c>
      <c r="B10" s="3">
        <f>EL(A10,PhasesData!$B$11,PhasesData!$E$11,PhasesData!$B$5,PhasesData!$C$5,PhasesData!$E$3,PhasesData!$F$5)</f>
        <v>46.764947322212471</v>
      </c>
      <c r="C10" s="3">
        <f>ET(A10,PhasesData!$B$11,PhasesData!$E$11,PhasesData!$B$5,PhasesData!$C$5,PhasesData!$E$3,PhasesData!$F$5)</f>
        <v>15.764128006940544</v>
      </c>
      <c r="D10" s="3">
        <f>GLT(A10,PhasesData!$B$11,PhasesData!$E$11,PhasesData!$D$5)</f>
        <v>4.947842458782822</v>
      </c>
      <c r="E10" s="3">
        <f>GTT(A10,PhasesData!$B$11,PhasesData!$E$11,PhasesData!$B$5,PhasesData!$C$5,PhasesData!$E$5,PhasesData!$F$5)</f>
        <v>5.4553919278181793</v>
      </c>
      <c r="F10" s="3">
        <f>KTT(A10,PhasesData!$B$11,PhasesData!$E$11,PhasesData!$B$5,PhasesData!$C$5,PhasesData!$E$5,PhasesData!$F$5)</f>
        <v>15.499611197511667</v>
      </c>
      <c r="G10" s="3">
        <f>nuLT(A10,PhasesData!$B$11,PhasesData!$E$11,PhasesData!$B$5,PhasesData!$C$5,PhasesData!$E$5,PhasesData!$F$5)</f>
        <v>0.26303775241439864</v>
      </c>
      <c r="H10" s="3">
        <f>nuTT(A10,PhasesData!$B$11,PhasesData!$E$11,PhasesData!$B$5,PhasesData!$C$5,PhasesData!$E$5,PhasesData!$F$5)</f>
        <v>0.44482085022672457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2"/>
  <sheetViews>
    <sheetView tabSelected="1" workbookViewId="0">
      <selection activeCell="Q11" sqref="Q11"/>
    </sheetView>
  </sheetViews>
  <sheetFormatPr defaultRowHeight="15" x14ac:dyDescent="0.25"/>
  <cols>
    <col min="1" max="1" width="12.28515625" customWidth="1"/>
    <col min="2" max="3" width="17" customWidth="1"/>
    <col min="4" max="4" width="10.7109375" customWidth="1"/>
    <col min="5" max="5" width="12.28515625" customWidth="1"/>
    <col min="6" max="6" width="10" customWidth="1"/>
    <col min="7" max="7" width="18" customWidth="1"/>
    <col min="8" max="8" width="17.5703125" customWidth="1"/>
    <col min="9" max="9" width="10.42578125" customWidth="1"/>
    <col min="10" max="10" width="10" customWidth="1"/>
    <col min="14" max="14" width="9.85546875" customWidth="1"/>
    <col min="16" max="16" width="9.42578125" customWidth="1"/>
  </cols>
  <sheetData>
    <row r="1" spans="1:18" ht="15.75" x14ac:dyDescent="0.25">
      <c r="A1" s="10" t="s">
        <v>10</v>
      </c>
      <c r="B1" s="18"/>
      <c r="C1" s="18"/>
      <c r="D1" s="18"/>
      <c r="E1" s="18"/>
      <c r="F1" s="21" t="s">
        <v>11</v>
      </c>
      <c r="J1" s="15"/>
      <c r="K1" s="16" t="s">
        <v>28</v>
      </c>
      <c r="L1" s="19"/>
      <c r="M1" s="19"/>
      <c r="O1" s="19" t="s">
        <v>27</v>
      </c>
    </row>
    <row r="2" spans="1:18" ht="35.25" customHeight="1" thickBot="1" x14ac:dyDescent="0.3">
      <c r="A2" s="1" t="s">
        <v>30</v>
      </c>
      <c r="B2" s="1" t="s">
        <v>31</v>
      </c>
      <c r="C2" s="1" t="s">
        <v>32</v>
      </c>
      <c r="D2" s="1" t="s">
        <v>34</v>
      </c>
      <c r="E2" s="1" t="s">
        <v>33</v>
      </c>
      <c r="F2" s="20" t="s">
        <v>30</v>
      </c>
      <c r="G2" s="1" t="s">
        <v>31</v>
      </c>
      <c r="H2" s="1" t="s">
        <v>32</v>
      </c>
      <c r="I2" s="1" t="s">
        <v>34</v>
      </c>
      <c r="J2" s="1" t="s">
        <v>29</v>
      </c>
      <c r="K2" s="17" t="s">
        <v>25</v>
      </c>
      <c r="L2" s="12" t="s">
        <v>26</v>
      </c>
      <c r="M2" s="12" t="s">
        <v>35</v>
      </c>
      <c r="N2" s="12" t="s">
        <v>36</v>
      </c>
      <c r="O2" s="17" t="s">
        <v>25</v>
      </c>
      <c r="P2" s="12" t="s">
        <v>26</v>
      </c>
      <c r="Q2" s="12" t="s">
        <v>35</v>
      </c>
      <c r="R2" s="12" t="s">
        <v>36</v>
      </c>
    </row>
    <row r="3" spans="1:18" x14ac:dyDescent="0.25">
      <c r="A3" s="14" t="str">
        <f>PhasesData!A3</f>
        <v>Carbon</v>
      </c>
      <c r="B3" s="14">
        <f>PhasesData!C3/(1-PhasesData!F3*PhasesData!F3)</f>
        <v>37.61755485893417</v>
      </c>
      <c r="C3" s="22">
        <f>PhasesData!C3</f>
        <v>30</v>
      </c>
      <c r="D3" s="22">
        <f>PhasesData!G3</f>
        <v>0</v>
      </c>
      <c r="E3" s="14">
        <f>3-4*PhasesData!F3</f>
        <v>1.2</v>
      </c>
      <c r="F3" s="23" t="str">
        <f>PhasesData!A11</f>
        <v>EP</v>
      </c>
      <c r="G3" s="14">
        <f>PhasesData!C11/(1-PhasesData!F11*PhasesData!F11)</f>
        <v>4.166666666666667</v>
      </c>
      <c r="H3" s="22">
        <f>PhasesData!C11</f>
        <v>3.5</v>
      </c>
      <c r="I3" s="22">
        <f>PhasesData!G11</f>
        <v>1.25</v>
      </c>
      <c r="J3" s="27">
        <f>3-4*PhasesData!F11</f>
        <v>1.4</v>
      </c>
      <c r="K3" s="14">
        <f>(B3-$G3)/(B3+$G3)</f>
        <v>0.80056267583619889</v>
      </c>
      <c r="L3" s="14"/>
      <c r="M3" s="14">
        <f>0.25*K3-0.25</f>
        <v>-4.9859331040950278E-2</v>
      </c>
      <c r="N3" s="14">
        <f>0.25*K3+0.25</f>
        <v>0.45014066895904969</v>
      </c>
      <c r="O3" s="23">
        <f>(C3-$H3)/(C3+$H3)</f>
        <v>0.79104477611940294</v>
      </c>
      <c r="P3" s="14"/>
      <c r="Q3" s="14">
        <f>3*O3/8-0.125</f>
        <v>0.17164179104477612</v>
      </c>
      <c r="R3" s="14">
        <f>3*O3/8+0.125</f>
        <v>0.42164179104477612</v>
      </c>
    </row>
    <row r="4" spans="1:18" x14ac:dyDescent="0.25">
      <c r="A4" s="14" t="str">
        <f>PhasesData!A4</f>
        <v>Carbon IM-7</v>
      </c>
      <c r="B4" s="14">
        <f>PhasesData!C4/(1-PhasesData!F4*PhasesData!F4)</f>
        <v>12.915360501567399</v>
      </c>
      <c r="C4" s="22">
        <f>PhasesData!C4</f>
        <v>10.3</v>
      </c>
      <c r="D4" s="22">
        <f>PhasesData!G4</f>
        <v>3.8</v>
      </c>
      <c r="E4" s="14">
        <f>3-4*PhasesData!F4</f>
        <v>1.2</v>
      </c>
      <c r="F4" s="26" t="str">
        <f>PhasesData!A11</f>
        <v>EP</v>
      </c>
      <c r="G4" s="24">
        <f>PhasesData!C11/(1-PhasesData!F11*PhasesData!F11)</f>
        <v>4.166666666666667</v>
      </c>
      <c r="H4" s="28">
        <f>PhasesData!C11</f>
        <v>3.5</v>
      </c>
      <c r="I4" s="22">
        <f>PhasesData!G11</f>
        <v>1.25</v>
      </c>
      <c r="J4" s="25">
        <f>3-4*PhasesData!F11</f>
        <v>1.4</v>
      </c>
      <c r="K4" s="14">
        <f>(B4-$G4)/(B4+$G4)</f>
        <v>0.51215782229698725</v>
      </c>
      <c r="L4" s="14"/>
      <c r="M4" s="14">
        <f t="shared" ref="M4:M7" si="0">0.25*K4-0.25</f>
        <v>-0.12196054442575319</v>
      </c>
      <c r="N4" s="14">
        <f t="shared" ref="N4:N7" si="1">0.25*K4+0.25</f>
        <v>0.37803945557424679</v>
      </c>
      <c r="O4" s="26">
        <f t="shared" ref="O4:O7" si="2">(C4-$H4)/(C4+$H4)</f>
        <v>0.49275362318840582</v>
      </c>
      <c r="P4" s="14"/>
      <c r="Q4" s="14">
        <f t="shared" ref="Q4:Q7" si="3">3*O4/8-0.125</f>
        <v>5.978260869565219E-2</v>
      </c>
      <c r="R4" s="14">
        <f t="shared" ref="R4:R7" si="4">3*O4/8+0.125</f>
        <v>0.30978260869565222</v>
      </c>
    </row>
    <row r="5" spans="1:18" x14ac:dyDescent="0.25">
      <c r="A5" s="14" t="str">
        <f>PhasesData!A5</f>
        <v>Glass</v>
      </c>
      <c r="B5" s="14">
        <f>PhasesData!C5/(1-PhasesData!F5*PhasesData!F5)</f>
        <v>72.916666666666671</v>
      </c>
      <c r="C5" s="22">
        <f>PhasesData!C5</f>
        <v>70</v>
      </c>
      <c r="D5" s="22">
        <f>PhasesData!G5</f>
        <v>29.2</v>
      </c>
      <c r="E5" s="14">
        <f>3-4*PhasesData!F5</f>
        <v>2.2000000000000002</v>
      </c>
      <c r="F5" s="26" t="str">
        <f>PhasesData!A11</f>
        <v>EP</v>
      </c>
      <c r="G5" s="24">
        <f>PhasesData!C11/(1-PhasesData!F11*PhasesData!F11)</f>
        <v>4.166666666666667</v>
      </c>
      <c r="H5" s="28">
        <f>PhasesData!C11</f>
        <v>3.5</v>
      </c>
      <c r="I5" s="22">
        <f>PhasesData!G11</f>
        <v>1.25</v>
      </c>
      <c r="J5" s="25">
        <f>3-4*PhasesData!F11</f>
        <v>1.4</v>
      </c>
      <c r="K5" s="14">
        <f>(B5-$G5)/(B5+$G5)</f>
        <v>0.89189189189189177</v>
      </c>
      <c r="L5" s="14">
        <f>(D5*(J5-1)-I5*(E5-1))/(D5*(J5+1)+I5*(E5+1))</f>
        <v>0.1374190064794816</v>
      </c>
      <c r="M5" s="14">
        <f t="shared" si="0"/>
        <v>-2.7027027027027056E-2</v>
      </c>
      <c r="N5" s="14">
        <f t="shared" si="1"/>
        <v>0.47297297297297292</v>
      </c>
      <c r="O5" s="26">
        <f t="shared" si="2"/>
        <v>0.90476190476190477</v>
      </c>
      <c r="P5" s="14">
        <f>(D5*(J5-1)-I5*(E5-1))/(D5*(J5+1)+I5*(E5+1))</f>
        <v>0.1374190064794816</v>
      </c>
      <c r="Q5" s="14">
        <f t="shared" si="3"/>
        <v>0.2142857142857143</v>
      </c>
      <c r="R5" s="14">
        <f t="shared" si="4"/>
        <v>0.4642857142857143</v>
      </c>
    </row>
    <row r="6" spans="1:18" x14ac:dyDescent="0.25">
      <c r="A6" s="14" t="str">
        <f>PhasesData!A6</f>
        <v>Glass</v>
      </c>
      <c r="B6" s="14">
        <f>PhasesData!C6/(1-PhasesData!F6*PhasesData!F6)</f>
        <v>76.8</v>
      </c>
      <c r="C6" s="22">
        <f>PhasesData!C6</f>
        <v>72</v>
      </c>
      <c r="D6" s="22">
        <f>PhasesData!G6</f>
        <v>28.8</v>
      </c>
      <c r="E6" s="14">
        <f>3-4*PhasesData!F6</f>
        <v>2</v>
      </c>
      <c r="F6" s="26" t="str">
        <f>PhasesData!A11</f>
        <v>EP</v>
      </c>
      <c r="G6" s="24">
        <f>PhasesData!C11/(1-PhasesData!F11*PhasesData!F11)</f>
        <v>4.166666666666667</v>
      </c>
      <c r="H6" s="28">
        <f>PhasesData!C11</f>
        <v>3.5</v>
      </c>
      <c r="I6" s="22">
        <f>PhasesData!G11</f>
        <v>1.25</v>
      </c>
      <c r="J6" s="25">
        <f>3-4*PhasesData!F11</f>
        <v>1.4</v>
      </c>
      <c r="K6" s="14">
        <f t="shared" ref="K6:K7" si="5">(B6-$G6)/(B6+$G6)</f>
        <v>0.89707698641416211</v>
      </c>
      <c r="L6" s="14">
        <f t="shared" ref="L6:L7" si="6">(D6*(J6-1)-I6*(E6-1))/(D6*(J6+1)+I6*(E6+1))</f>
        <v>0.14093591327020719</v>
      </c>
      <c r="M6" s="14">
        <f t="shared" si="0"/>
        <v>-2.5730753396459471E-2</v>
      </c>
      <c r="N6" s="14">
        <f t="shared" si="1"/>
        <v>0.47426924660354053</v>
      </c>
      <c r="O6" s="26">
        <f t="shared" si="2"/>
        <v>0.9072847682119205</v>
      </c>
      <c r="P6" s="14">
        <f t="shared" ref="P6:P7" si="7">(D6*(J6-1)-I6*(E6-1))/(D6*(J6+1)+I6*(E6+1))</f>
        <v>0.14093591327020719</v>
      </c>
      <c r="Q6" s="14">
        <f t="shared" si="3"/>
        <v>0.21523178807947019</v>
      </c>
      <c r="R6" s="14">
        <f t="shared" si="4"/>
        <v>0.46523178807947019</v>
      </c>
    </row>
    <row r="7" spans="1:18" x14ac:dyDescent="0.25">
      <c r="A7" s="14" t="str">
        <f>PhasesData!A7</f>
        <v>Steel</v>
      </c>
      <c r="B7" s="14">
        <f>PhasesData!C7/(1-PhasesData!F7*PhasesData!F7)</f>
        <v>212.08791208791209</v>
      </c>
      <c r="C7" s="22">
        <f>PhasesData!C7</f>
        <v>193</v>
      </c>
      <c r="D7" s="22">
        <f>PhasesData!G7</f>
        <v>74.230769230769226</v>
      </c>
      <c r="E7" s="14">
        <f>3-4*PhasesData!F7</f>
        <v>1.8</v>
      </c>
      <c r="F7" s="26" t="str">
        <f>PhasesData!A11</f>
        <v>EP</v>
      </c>
      <c r="G7" s="24">
        <f>PhasesData!C11/(1-PhasesData!F11*PhasesData!F11)</f>
        <v>4.166666666666667</v>
      </c>
      <c r="H7" s="28">
        <f>PhasesData!C11</f>
        <v>3.5</v>
      </c>
      <c r="I7" s="22">
        <f>PhasesData!G11</f>
        <v>1.25</v>
      </c>
      <c r="J7" s="25">
        <f>3-4*PhasesData!F11</f>
        <v>1.4</v>
      </c>
      <c r="K7" s="14">
        <f t="shared" si="5"/>
        <v>0.96146517044251545</v>
      </c>
      <c r="L7" s="14">
        <f t="shared" si="6"/>
        <v>0.15795045521914033</v>
      </c>
      <c r="M7" s="14">
        <f t="shared" si="0"/>
        <v>-9.6337073893711378E-3</v>
      </c>
      <c r="N7" s="14">
        <f t="shared" si="1"/>
        <v>0.49036629261062886</v>
      </c>
      <c r="O7" s="26">
        <f t="shared" si="2"/>
        <v>0.96437659033078882</v>
      </c>
      <c r="P7" s="14">
        <f t="shared" si="7"/>
        <v>0.15795045521914033</v>
      </c>
      <c r="Q7" s="14">
        <f t="shared" si="3"/>
        <v>0.23664122137404581</v>
      </c>
      <c r="R7" s="14">
        <f t="shared" si="4"/>
        <v>0.48664122137404581</v>
      </c>
    </row>
    <row r="8" spans="1:18" x14ac:dyDescent="0.25">
      <c r="A8" s="14"/>
      <c r="B8" s="14"/>
      <c r="C8" s="14"/>
      <c r="D8" s="14"/>
      <c r="E8" s="14"/>
      <c r="F8" s="26"/>
      <c r="G8" s="24"/>
      <c r="H8" s="24"/>
      <c r="I8" s="24"/>
      <c r="J8" s="25"/>
      <c r="K8" s="14"/>
      <c r="L8" s="14"/>
      <c r="M8" s="14"/>
      <c r="N8" s="14"/>
      <c r="O8" s="26"/>
      <c r="P8" s="14"/>
      <c r="Q8" s="14"/>
      <c r="R8" s="14"/>
    </row>
    <row r="9" spans="1:18" x14ac:dyDescent="0.25">
      <c r="A9" s="14"/>
      <c r="B9" s="14"/>
      <c r="C9" s="14"/>
      <c r="D9" s="14"/>
      <c r="E9" s="14"/>
      <c r="F9" s="26"/>
      <c r="G9" s="24"/>
      <c r="H9" s="24"/>
      <c r="I9" s="24"/>
      <c r="J9" s="25"/>
      <c r="K9" s="14"/>
      <c r="L9" s="14"/>
      <c r="M9" s="14"/>
      <c r="N9" s="14"/>
      <c r="O9" s="26"/>
      <c r="P9" s="14"/>
      <c r="Q9" s="14"/>
      <c r="R9" s="14"/>
    </row>
    <row r="10" spans="1:18" x14ac:dyDescent="0.25">
      <c r="A10" s="14"/>
      <c r="B10" s="14"/>
      <c r="C10" s="14"/>
      <c r="D10" s="14"/>
      <c r="E10" s="14"/>
      <c r="F10" s="26"/>
      <c r="G10" s="24"/>
      <c r="H10" s="24"/>
      <c r="I10" s="24"/>
      <c r="J10" s="25"/>
      <c r="K10" s="14"/>
      <c r="L10" s="14"/>
      <c r="M10" s="14"/>
      <c r="N10" s="14"/>
      <c r="O10" s="26"/>
      <c r="P10" s="14"/>
      <c r="Q10" s="14"/>
      <c r="R10" s="14"/>
    </row>
    <row r="11" spans="1:18" x14ac:dyDescent="0.25">
      <c r="A11" s="14"/>
      <c r="B11" s="14"/>
      <c r="C11" s="14"/>
      <c r="D11" s="14"/>
      <c r="E11" s="14"/>
      <c r="F11" s="26"/>
      <c r="G11" s="24"/>
      <c r="H11" s="24"/>
      <c r="I11" s="24"/>
      <c r="J11" s="25"/>
      <c r="K11" s="14"/>
      <c r="L11" s="14"/>
      <c r="M11" s="14"/>
      <c r="N11" s="14"/>
      <c r="O11" s="26"/>
      <c r="P11" s="14"/>
      <c r="Q11" s="14"/>
      <c r="R11" s="14"/>
    </row>
    <row r="12" spans="1:18" x14ac:dyDescent="0.25">
      <c r="A12" s="14"/>
      <c r="B12" s="14"/>
      <c r="C12" s="14"/>
      <c r="D12" s="14"/>
      <c r="E12" s="14"/>
      <c r="F12" s="26"/>
      <c r="G12" s="24"/>
      <c r="H12" s="24"/>
      <c r="I12" s="24"/>
      <c r="J12" s="25"/>
      <c r="K12" s="14"/>
      <c r="L12" s="14"/>
      <c r="M12" s="14"/>
      <c r="N12" s="14"/>
      <c r="O12" s="26"/>
      <c r="P12" s="14"/>
      <c r="Q12" s="14"/>
      <c r="R12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PhasesData</vt:lpstr>
      <vt:lpstr>CF-EP</vt:lpstr>
      <vt:lpstr>GF-EP</vt:lpstr>
      <vt:lpstr>DundursParameter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Di Stasio</dc:creator>
  <cp:lastModifiedBy>Luca Di Stasio</cp:lastModifiedBy>
  <dcterms:created xsi:type="dcterms:W3CDTF">2018-04-18T16:45:48Z</dcterms:created>
  <dcterms:modified xsi:type="dcterms:W3CDTF">2018-08-22T12:39:33Z</dcterms:modified>
</cp:coreProperties>
</file>