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14655" windowHeight="4170" activeTab="3"/>
  </bookViews>
  <sheets>
    <sheet name="PhasesData" sheetId="1" r:id="rId1"/>
    <sheet name="CF-EP" sheetId="2" r:id="rId2"/>
    <sheet name="GF-EP" sheetId="3" r:id="rId3"/>
    <sheet name="DundursParameter" sheetId="4" r:id="rId4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D9" i="1"/>
  <c r="D7" i="1"/>
  <c r="D6" i="1"/>
  <c r="A3" i="3" l="1"/>
  <c r="A2" i="3"/>
  <c r="B3" i="3"/>
  <c r="F3" i="3"/>
  <c r="H5" i="3"/>
  <c r="C8" i="3"/>
  <c r="E10" i="3"/>
  <c r="C9" i="3"/>
  <c r="D4" i="3"/>
  <c r="F6" i="3"/>
  <c r="H8" i="3"/>
  <c r="F4" i="3"/>
  <c r="D3" i="3"/>
  <c r="F5" i="3"/>
  <c r="H7" i="3"/>
  <c r="C10" i="3"/>
  <c r="H6" i="3"/>
  <c r="G2" i="3"/>
  <c r="C2" i="3"/>
  <c r="H4" i="2"/>
  <c r="H9" i="2"/>
  <c r="G7" i="2"/>
  <c r="G5" i="2"/>
  <c r="F3" i="2"/>
  <c r="F8" i="2"/>
  <c r="F2" i="2"/>
  <c r="E4" i="2"/>
  <c r="E9" i="2"/>
  <c r="D10" i="2"/>
  <c r="D9" i="2"/>
  <c r="C7" i="2"/>
  <c r="C10" i="2"/>
  <c r="B3" i="2"/>
  <c r="B9" i="2"/>
  <c r="B2" i="2"/>
  <c r="E4" i="3"/>
  <c r="B9" i="3"/>
  <c r="E2" i="3"/>
  <c r="H3" i="2"/>
  <c r="G8" i="2"/>
  <c r="F9" i="2"/>
  <c r="E7" i="2"/>
  <c r="D8" i="2"/>
  <c r="C9" i="2"/>
  <c r="D5" i="3"/>
  <c r="F7" i="3"/>
  <c r="G3" i="3"/>
  <c r="F10" i="3"/>
  <c r="D7" i="3"/>
  <c r="F9" i="3"/>
  <c r="D2" i="3"/>
  <c r="G3" i="2"/>
  <c r="F4" i="2"/>
  <c r="E5" i="2"/>
  <c r="C3" i="2"/>
  <c r="B5" i="2"/>
  <c r="C4" i="3"/>
  <c r="E6" i="3"/>
  <c r="G8" i="3"/>
  <c r="E3" i="3"/>
  <c r="H10" i="3"/>
  <c r="H4" i="3"/>
  <c r="C7" i="3"/>
  <c r="E9" i="3"/>
  <c r="D6" i="3"/>
  <c r="H3" i="3"/>
  <c r="C6" i="3"/>
  <c r="E8" i="3"/>
  <c r="G10" i="3"/>
  <c r="F8" i="3"/>
  <c r="F2" i="3"/>
  <c r="B2" i="3"/>
  <c r="H8" i="2"/>
  <c r="H6" i="2"/>
  <c r="G4" i="2"/>
  <c r="G9" i="2"/>
  <c r="F7" i="2"/>
  <c r="F5" i="2"/>
  <c r="E3" i="2"/>
  <c r="E8" i="2"/>
  <c r="E2" i="2"/>
  <c r="D4" i="2"/>
  <c r="D6" i="2"/>
  <c r="C6" i="2"/>
  <c r="C5" i="2"/>
  <c r="B4" i="2"/>
  <c r="B6" i="2"/>
  <c r="B8" i="3"/>
  <c r="B4" i="3"/>
  <c r="H10" i="2"/>
  <c r="F6" i="2"/>
  <c r="E6" i="2"/>
  <c r="C4" i="2"/>
  <c r="B10" i="2"/>
  <c r="H9" i="3"/>
  <c r="B6" i="3"/>
  <c r="D10" i="3"/>
  <c r="C5" i="3"/>
  <c r="H5" i="2"/>
  <c r="G2" i="2"/>
  <c r="E10" i="2"/>
  <c r="D5" i="2"/>
  <c r="C2" i="2"/>
  <c r="G4" i="3"/>
  <c r="B7" i="3"/>
  <c r="D9" i="3"/>
  <c r="G5" i="3"/>
  <c r="C3" i="3"/>
  <c r="E5" i="3"/>
  <c r="G7" i="3"/>
  <c r="B10" i="3"/>
  <c r="G6" i="3"/>
  <c r="G9" i="3"/>
  <c r="H2" i="2"/>
  <c r="G6" i="2"/>
  <c r="D3" i="2"/>
  <c r="D2" i="2"/>
  <c r="B8" i="2"/>
  <c r="E7" i="3"/>
  <c r="D8" i="3"/>
  <c r="B5" i="3"/>
  <c r="H2" i="3"/>
  <c r="H7" i="2"/>
  <c r="G10" i="2"/>
  <c r="F10" i="2"/>
  <c r="D7" i="2"/>
  <c r="C8" i="2"/>
  <c r="B7" i="2"/>
  <c r="A3" i="2" l="1"/>
  <c r="A2" i="2"/>
</calcChain>
</file>

<file path=xl/sharedStrings.xml><?xml version="1.0" encoding="utf-8"?>
<sst xmlns="http://schemas.openxmlformats.org/spreadsheetml/2006/main" count="46" uniqueCount="25">
  <si>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</si>
  <si>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</si>
  <si>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</si>
  <si>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</si>
  <si>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</si>
  <si>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</si>
  <si>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</si>
  <si>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</si>
  <si>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</si>
  <si>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</si>
  <si>
    <t>FIBER</t>
  </si>
  <si>
    <t>MATRIX</t>
  </si>
  <si>
    <t>Steel</t>
  </si>
  <si>
    <t>Carbon</t>
  </si>
  <si>
    <t>Glass</t>
  </si>
  <si>
    <t>Reference</t>
  </si>
  <si>
    <t>Linqi (insert ref)</t>
  </si>
  <si>
    <t>Carbon IM-7</t>
  </si>
  <si>
    <t>https://www.researchgate.net/publication/326191211_ANALYSIS_OF_FIBERMATRIX_INTERFACE_DEBONDING_IN_STEEL_FIBER_COMPOSITES_UNDER_TRANSVERSE_LOADING</t>
  </si>
  <si>
    <t>SiC</t>
  </si>
  <si>
    <t>Ti15</t>
  </si>
  <si>
    <t>https://www.sciencedirect.com/science/article/pii/004579499090395I</t>
  </si>
  <si>
    <t>6061-Al</t>
  </si>
  <si>
    <t>http://www.escm.eu.org/docs/eccm/C217.pdf</t>
  </si>
  <si>
    <t>SCS-2 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</si>
</sst>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%"/>
    <numFmt numFmtId="165" formatCode="0.0%"/>
    <numFmt numFmtId="166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5" fillId="0" borderId="0" xfId="0" applyFon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H24" sqref="H24"/>
    </sheetView>
  </sheetViews>
  <sheetFormatPr defaultRowHeight="15" x14ac:dyDescent="0.25"/>
  <cols>
    <col min="1" max="1" width="12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7" width="10.28515625" customWidth="1"/>
    <col min="8" max="8" width="12.42578125" customWidth="1"/>
  </cols>
  <sheetData>
    <row r="1" spans="1:8" ht="19.5" thickBot="1" x14ac:dyDescent="0.3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</v>
      </c>
      <c r="H1" s="12" t="s">
        <v>15</v>
      </c>
    </row>
    <row r="2" spans="1:8" ht="15.75" x14ac:dyDescent="0.25">
      <c r="A2" s="9" t="s">
        <v>10</v>
      </c>
      <c r="B2" s="10"/>
      <c r="C2" s="10"/>
      <c r="D2" s="10"/>
      <c r="E2" s="10"/>
      <c r="F2" s="10"/>
      <c r="G2" s="10"/>
    </row>
    <row r="3" spans="1:8" x14ac:dyDescent="0.25">
      <c r="A3" s="5" t="s">
        <v>13</v>
      </c>
      <c r="B3" s="2">
        <v>500</v>
      </c>
      <c r="C3" s="2">
        <v>30</v>
      </c>
      <c r="D3" s="2">
        <v>20</v>
      </c>
      <c r="E3" s="2">
        <v>0.2</v>
      </c>
      <c r="F3" s="2">
        <v>0.45</v>
      </c>
      <c r="G3" s="2"/>
      <c r="H3" t="s">
        <v>16</v>
      </c>
    </row>
    <row r="4" spans="1:8" x14ac:dyDescent="0.25">
      <c r="A4" s="5" t="s">
        <v>17</v>
      </c>
      <c r="B4" s="2">
        <v>276</v>
      </c>
      <c r="C4" s="2">
        <v>10.3</v>
      </c>
      <c r="D4" s="2">
        <v>27.9</v>
      </c>
      <c r="E4" s="2">
        <v>0.26</v>
      </c>
      <c r="F4" s="2"/>
      <c r="G4" s="2">
        <v>3.8</v>
      </c>
      <c r="H4" s="13" t="s">
        <v>18</v>
      </c>
    </row>
    <row r="5" spans="1:8" x14ac:dyDescent="0.25">
      <c r="A5" s="5" t="s">
        <v>14</v>
      </c>
      <c r="B5" s="2">
        <v>70</v>
      </c>
      <c r="C5" s="2">
        <v>70</v>
      </c>
      <c r="D5" s="2">
        <v>29.2</v>
      </c>
      <c r="E5" s="2">
        <v>0.2</v>
      </c>
      <c r="F5" s="2">
        <v>0.2</v>
      </c>
      <c r="G5" s="2"/>
      <c r="H5" t="s">
        <v>16</v>
      </c>
    </row>
    <row r="6" spans="1:8" x14ac:dyDescent="0.25">
      <c r="A6" s="5" t="s">
        <v>14</v>
      </c>
      <c r="B6" s="2">
        <v>72</v>
      </c>
      <c r="C6" s="2">
        <v>72</v>
      </c>
      <c r="D6" s="2">
        <f>0.5*B6/(1+E6)</f>
        <v>28.8</v>
      </c>
      <c r="E6" s="2">
        <v>0.25</v>
      </c>
      <c r="F6" s="2">
        <v>0.25</v>
      </c>
      <c r="G6" s="2"/>
      <c r="H6" t="s">
        <v>18</v>
      </c>
    </row>
    <row r="7" spans="1:8" x14ac:dyDescent="0.25">
      <c r="A7" s="5" t="s">
        <v>12</v>
      </c>
      <c r="B7" s="2">
        <v>193</v>
      </c>
      <c r="C7" s="2">
        <v>193</v>
      </c>
      <c r="D7" s="2">
        <f>0.5*B7/(1+E7)</f>
        <v>74.230769230769226</v>
      </c>
      <c r="E7" s="2">
        <v>0.3</v>
      </c>
      <c r="F7" s="2">
        <v>0.3</v>
      </c>
      <c r="G7" s="2"/>
      <c r="H7" t="s">
        <v>18</v>
      </c>
    </row>
    <row r="8" spans="1:8" x14ac:dyDescent="0.25">
      <c r="A8" s="5" t="s">
        <v>19</v>
      </c>
      <c r="B8" s="2">
        <v>428</v>
      </c>
      <c r="C8" s="2">
        <v>428</v>
      </c>
      <c r="D8" s="2">
        <v>164</v>
      </c>
      <c r="E8" s="2">
        <v>0.3</v>
      </c>
      <c r="F8" s="2">
        <v>0.3</v>
      </c>
      <c r="G8" s="2"/>
      <c r="H8" t="s">
        <v>21</v>
      </c>
    </row>
    <row r="9" spans="1:8" x14ac:dyDescent="0.25">
      <c r="A9" s="5" t="s">
        <v>24</v>
      </c>
      <c r="B9" s="2">
        <v>365</v>
      </c>
      <c r="C9" s="2">
        <v>365</v>
      </c>
      <c r="D9" s="2">
        <f>0.5*B9/(1+E9)</f>
        <v>149.59016393442624</v>
      </c>
      <c r="E9" s="2">
        <v>0.22</v>
      </c>
      <c r="F9" s="2">
        <v>0.22</v>
      </c>
      <c r="G9" s="2"/>
      <c r="H9" t="s">
        <v>23</v>
      </c>
    </row>
    <row r="10" spans="1:8" x14ac:dyDescent="0.25">
      <c r="A10" s="11" t="s">
        <v>11</v>
      </c>
      <c r="B10" s="2"/>
      <c r="C10" s="2"/>
      <c r="D10" s="2"/>
      <c r="E10" s="2"/>
      <c r="F10" s="2"/>
      <c r="G10" s="2"/>
    </row>
    <row r="11" spans="1:8" x14ac:dyDescent="0.25">
      <c r="A11" s="5" t="s">
        <v>6</v>
      </c>
      <c r="B11" s="2">
        <v>3.5</v>
      </c>
      <c r="C11" s="2">
        <v>3.5</v>
      </c>
      <c r="D11" s="2">
        <v>1.25</v>
      </c>
      <c r="E11" s="2">
        <v>0.4</v>
      </c>
      <c r="F11" s="2">
        <v>0.4</v>
      </c>
      <c r="G11" s="2"/>
      <c r="H11" t="s">
        <v>16</v>
      </c>
    </row>
    <row r="12" spans="1:8" x14ac:dyDescent="0.25">
      <c r="A12" s="5" t="s">
        <v>20</v>
      </c>
      <c r="B12" s="2">
        <v>85</v>
      </c>
      <c r="C12" s="2">
        <v>85</v>
      </c>
      <c r="D12" s="14">
        <v>32</v>
      </c>
      <c r="E12" s="2">
        <v>0.32</v>
      </c>
      <c r="F12" s="2">
        <v>0.32</v>
      </c>
      <c r="G12" s="14"/>
      <c r="H12" t="s">
        <v>21</v>
      </c>
    </row>
    <row r="13" spans="1:8" x14ac:dyDescent="0.25">
      <c r="A13" s="5" t="s">
        <v>22</v>
      </c>
      <c r="B13" s="2">
        <v>69</v>
      </c>
      <c r="C13" s="2">
        <v>69</v>
      </c>
      <c r="D13" s="2">
        <f>0.5*B13/(1+E13)</f>
        <v>25.939849624060148</v>
      </c>
      <c r="E13" s="2">
        <v>0.33</v>
      </c>
      <c r="F13" s="2">
        <v>0.33</v>
      </c>
      <c r="G13" s="14"/>
      <c r="H13" t="s">
        <v>23</v>
      </c>
    </row>
    <row r="14" spans="1:8" x14ac:dyDescent="0.25">
      <c r="A14" s="5"/>
      <c r="B14" s="14"/>
      <c r="C14" s="14"/>
      <c r="D14" s="14"/>
      <c r="E14" s="14"/>
      <c r="F14" s="14"/>
      <c r="G14" s="14"/>
    </row>
    <row r="15" spans="1:8" x14ac:dyDescent="0.25">
      <c r="A15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"/>
  <sheetViews>
    <sheetView workbookViewId="0">
      <selection activeCell="D15" sqref="D15"/>
    </sheetView>
  </sheetViews>
  <sheetFormatPr defaultRowHeight="15" x14ac:dyDescent="0.25"/>
  <cols>
    <col min="1" max="1" width="10.42578125" customWidth="1"/>
    <col min="4" max="4" width="11" customWidth="1"/>
    <col min="5" max="5" width="20" customWidth="1"/>
    <col min="6" max="6" width="11" customWidth="1"/>
  </cols>
  <sheetData>
    <row r="1" spans="1:8" ht="24" customHeight="1" thickBot="1" x14ac:dyDescent="0.3">
      <c r="A1" s="4" t="s">
        <v>9</v>
      </c>
      <c r="B1" s="1" t="s">
        <v>1</v>
      </c>
      <c r="C1" s="1" t="s">
        <v>2</v>
      </c>
      <c r="D1" s="1" t="s">
        <v>3</v>
      </c>
      <c r="E1" s="1" t="s">
        <v>7</v>
      </c>
      <c r="F1" s="1" t="s">
        <v>8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EL(A2,PhasesData!$B$11,PhasesData!$E$11,PhasesData!$B$3,PhasesData!$C$3,PhasesData!$E$3,PhasesData!$F$3)</f>
        <v>3.5390100427713431</v>
      </c>
      <c r="C2" s="3">
        <f>ET(A2,PhasesData!$B$11,PhasesData!$E$11,PhasesData!$B$3,PhasesData!$C$3,PhasesData!$E$3,PhasesData!$F$3)</f>
        <v>3.5065360095551465</v>
      </c>
      <c r="D2" s="3">
        <f>GLT(A2,PhasesData!$B$11,PhasesData!$E$11,PhasesData!$D$3)</f>
        <v>1.2501732616018679</v>
      </c>
      <c r="E2" s="3">
        <f>GTT(A2,PhasesData!$B$11,PhasesData!$E$11,PhasesData!$B$3,PhasesData!$C$3,PhasesData!$E$3,PhasesData!$F$3)</f>
        <v>1.2501362160667215</v>
      </c>
      <c r="F2" s="3">
        <f>KTT(A2,PhasesData!$B$11,PhasesData!$E$11,PhasesData!$B$3,PhasesData!$C$3,PhasesData!$E$3,PhasesData!$F$3)</f>
        <v>6.2504354776422835</v>
      </c>
      <c r="G2" s="3">
        <f>nuLT(A2,PhasesData!$B$11,PhasesData!$E$11,PhasesData!$B$3,PhasesData!$C$3,PhasesData!$E$3,PhasesData!$F$3)</f>
        <v>0.39998196983352186</v>
      </c>
      <c r="H2" s="3">
        <f>nuTT(A2,PhasesData!$B$11,PhasesData!$E$11,PhasesData!$B$3,PhasesData!$C$3,PhasesData!$E$3,PhasesData!$F$3)</f>
        <v>0.40246157358263335</v>
      </c>
    </row>
    <row r="3" spans="1:8" x14ac:dyDescent="0.25">
      <c r="A3" s="7">
        <f>0.25*PI()/(28*28)</f>
        <v>1.0017833716804187E-3</v>
      </c>
      <c r="B3" s="3">
        <f>EL(A3,PhasesData!$B$11,PhasesData!$E$11,PhasesData!$B$3,PhasesData!$C$3,PhasesData!$E$3,PhasesData!$F$3)</f>
        <v>3.9975768730981223</v>
      </c>
      <c r="C3" s="3">
        <f>ET(A3,PhasesData!$B$11,PhasesData!$E$11,PhasesData!$B$3,PhasesData!$C$3,PhasesData!$E$3,PhasesData!$F$3)</f>
        <v>3.5757080976369431</v>
      </c>
      <c r="D3" s="3">
        <f>GLT(A3,PhasesData!$B$11,PhasesData!$E$11,PhasesData!$D$3)</f>
        <v>1.2522117713043375</v>
      </c>
      <c r="E3" s="3">
        <f>GTT(A3,PhasesData!$B$11,PhasesData!$E$11,PhasesData!$B$3,PhasesData!$C$3,PhasesData!$E$3,PhasesData!$F$3)</f>
        <v>1.2517387508342614</v>
      </c>
      <c r="F3" s="3">
        <f>KTT(A3,PhasesData!$B$11,PhasesData!$E$11,PhasesData!$B$3,PhasesData!$C$3,PhasesData!$E$3,PhasesData!$F$3)</f>
        <v>6.2555583555891134</v>
      </c>
      <c r="G3" s="3">
        <f>nuLT(A3,PhasesData!$B$11,PhasesData!$E$11,PhasesData!$B$3,PhasesData!$C$3,PhasesData!$E$3,PhasesData!$F$3)</f>
        <v>0.3997700547741429</v>
      </c>
      <c r="H3" s="3">
        <f>nuTT(A3,PhasesData!$B$11,PhasesData!$E$11,PhasesData!$B$3,PhasesData!$C$3,PhasesData!$E$3,PhasesData!$F$3)</f>
        <v>0.42829647770103696</v>
      </c>
    </row>
    <row r="4" spans="1:8" x14ac:dyDescent="0.25">
      <c r="A4" s="8">
        <v>0.2</v>
      </c>
      <c r="B4" s="3">
        <f>EL(A4,PhasesData!$B$11,PhasesData!$E$11,PhasesData!$B$3,PhasesData!$C$3,PhasesData!$E$3,PhasesData!$F$3)</f>
        <v>102.82973019844907</v>
      </c>
      <c r="C4" s="3">
        <f>ET(A4,PhasesData!$B$11,PhasesData!$E$11,PhasesData!$B$3,PhasesData!$C$3,PhasesData!$E$3,PhasesData!$F$3)</f>
        <v>5.4529881265623779</v>
      </c>
      <c r="D4" s="3">
        <f>GLT(A4,PhasesData!$B$11,PhasesData!$E$11,PhasesData!$D$3)</f>
        <v>1.7857142857142856</v>
      </c>
      <c r="E4" s="3">
        <f>GTT(A4,PhasesData!$B$11,PhasesData!$E$11,PhasesData!$B$3,PhasesData!$C$3,PhasesData!$E$3,PhasesData!$F$3)</f>
        <v>1.6772864311526807</v>
      </c>
      <c r="F4" s="3">
        <f>KTT(A4,PhasesData!$B$11,PhasesData!$E$11,PhasesData!$B$3,PhasesData!$C$3,PhasesData!$E$3,PhasesData!$F$3)</f>
        <v>7.5512609443987149</v>
      </c>
      <c r="G4" s="3">
        <f>nuLT(A4,PhasesData!$B$11,PhasesData!$E$11,PhasesData!$B$3,PhasesData!$C$3,PhasesData!$E$3,PhasesData!$F$3)</f>
        <v>0.3554047023263881</v>
      </c>
      <c r="H4" s="3">
        <f>nuTT(A4,PhasesData!$B$11,PhasesData!$E$11,PhasesData!$B$3,PhasesData!$C$3,PhasesData!$E$3,PhasesData!$F$3)</f>
        <v>0.62553873485249722</v>
      </c>
    </row>
    <row r="5" spans="1:8" x14ac:dyDescent="0.25">
      <c r="A5" s="8">
        <v>0.3</v>
      </c>
      <c r="B5" s="3">
        <f>EL(A5,PhasesData!$B$11,PhasesData!$E$11,PhasesData!$B$3,PhasesData!$C$3,PhasesData!$E$3,PhasesData!$F$3)</f>
        <v>152.48846846654311</v>
      </c>
      <c r="C5" s="3">
        <f>ET(A5,PhasesData!$B$11,PhasesData!$E$11,PhasesData!$B$3,PhasesData!$C$3,PhasesData!$E$3,PhasesData!$F$3)</f>
        <v>6.3831518918996135</v>
      </c>
      <c r="D5" s="3">
        <f>GLT(A5,PhasesData!$B$11,PhasesData!$E$11,PhasesData!$D$3)</f>
        <v>2.15</v>
      </c>
      <c r="E5" s="3">
        <f>GTT(A5,PhasesData!$B$11,PhasesData!$E$11,PhasesData!$B$3,PhasesData!$C$3,PhasesData!$E$3,PhasesData!$F$3)</f>
        <v>1.9821817072861816</v>
      </c>
      <c r="F5" s="3">
        <f>KTT(A5,PhasesData!$B$11,PhasesData!$E$11,PhasesData!$B$3,PhasesData!$C$3,PhasesData!$E$3,PhasesData!$F$3)</f>
        <v>8.3873041073440557</v>
      </c>
      <c r="G5" s="3">
        <f>nuLT(A5,PhasesData!$B$11,PhasesData!$E$11,PhasesData!$B$3,PhasesData!$C$3,PhasesData!$E$3,PhasesData!$F$3)</f>
        <v>0.33405405735465177</v>
      </c>
      <c r="H5" s="3">
        <f>nuTT(A5,PhasesData!$B$11,PhasesData!$E$11,PhasesData!$B$3,PhasesData!$C$3,PhasesData!$E$3,PhasesData!$F$3)</f>
        <v>0.61013288247898068</v>
      </c>
    </row>
    <row r="6" spans="1:8" x14ac:dyDescent="0.25">
      <c r="A6" s="8">
        <v>0.4</v>
      </c>
      <c r="B6" s="3">
        <f>EL(A6,PhasesData!$B$11,PhasesData!$E$11,PhasesData!$B$3,PhasesData!$C$3,PhasesData!$E$3,PhasesData!$F$3)</f>
        <v>202.14335025197335</v>
      </c>
      <c r="C6" s="3">
        <f>ET(A6,PhasesData!$B$11,PhasesData!$E$11,PhasesData!$B$3,PhasesData!$C$3,PhasesData!$E$3,PhasesData!$F$3)</f>
        <v>7.5699527527042649</v>
      </c>
      <c r="D6" s="3">
        <f>GLT(A6,PhasesData!$B$11,PhasesData!$E$11,PhasesData!$D$3)</f>
        <v>2.6136363636363638</v>
      </c>
      <c r="E6" s="3">
        <f>GTT(A6,PhasesData!$B$11,PhasesData!$E$11,PhasesData!$B$3,PhasesData!$C$3,PhasesData!$E$3,PhasesData!$F$3)</f>
        <v>2.3805748977708676</v>
      </c>
      <c r="F6" s="3">
        <f>KTT(A6,PhasesData!$B$11,PhasesData!$E$11,PhasesData!$B$3,PhasesData!$C$3,PhasesData!$E$3,PhasesData!$F$3)</f>
        <v>9.3988523699578987</v>
      </c>
      <c r="G6" s="3">
        <f>nuLT(A6,PhasesData!$B$11,PhasesData!$E$11,PhasesData!$B$3,PhasesData!$C$3,PhasesData!$E$3,PhasesData!$F$3)</f>
        <v>0.3132994960533208</v>
      </c>
      <c r="H6" s="3">
        <f>nuTT(A6,PhasesData!$B$11,PhasesData!$E$11,PhasesData!$B$3,PhasesData!$C$3,PhasesData!$E$3,PhasesData!$F$3)</f>
        <v>0.58994215216514467</v>
      </c>
    </row>
    <row r="7" spans="1:8" x14ac:dyDescent="0.25">
      <c r="A7" s="8">
        <v>0.5</v>
      </c>
      <c r="B7" s="3">
        <f>EL(A7,PhasesData!$B$11,PhasesData!$E$11,PhasesData!$B$3,PhasesData!$C$3,PhasesData!$E$3,PhasesData!$F$3)</f>
        <v>251.7945348336624</v>
      </c>
      <c r="C7" s="3">
        <f>ET(A7,PhasesData!$B$11,PhasesData!$E$11,PhasesData!$B$3,PhasesData!$C$3,PhasesData!$E$3,PhasesData!$F$3)</f>
        <v>9.0931924051310489</v>
      </c>
      <c r="D7" s="3">
        <f>GLT(A7,PhasesData!$B$11,PhasesData!$E$11,PhasesData!$D$3)</f>
        <v>3.2236842105263159</v>
      </c>
      <c r="E7" s="3">
        <f>GTT(A7,PhasesData!$B$11,PhasesData!$E$11,PhasesData!$B$3,PhasesData!$C$3,PhasesData!$E$3,PhasesData!$F$3)</f>
        <v>2.9018545943126512</v>
      </c>
      <c r="F7" s="3">
        <f>KTT(A7,PhasesData!$B$11,PhasesData!$E$11,PhasesData!$B$3,PhasesData!$C$3,PhasesData!$E$3,PhasesData!$F$3)</f>
        <v>10.647650539945881</v>
      </c>
      <c r="G7" s="3">
        <f>nuLT(A7,PhasesData!$B$11,PhasesData!$E$11,PhasesData!$B$3,PhasesData!$C$3,PhasesData!$E$3,PhasesData!$F$3)</f>
        <v>0.29311639921024901</v>
      </c>
      <c r="H7" s="3">
        <f>nuTT(A7,PhasesData!$B$11,PhasesData!$E$11,PhasesData!$B$3,PhasesData!$C$3,PhasesData!$E$3,PhasesData!$F$3)</f>
        <v>0.56678980796501821</v>
      </c>
    </row>
    <row r="8" spans="1:8" x14ac:dyDescent="0.25">
      <c r="A8" s="8">
        <v>0.55000000000000004</v>
      </c>
      <c r="B8" s="3">
        <f>EL(A8,PhasesData!$B$11,PhasesData!$E$11,PhasesData!$B$3,PhasesData!$C$3,PhasesData!$E$3,PhasesData!$F$3)</f>
        <v>276.61878806576169</v>
      </c>
      <c r="C8" s="3">
        <f>ET(A8,PhasesData!$B$11,PhasesData!$E$11,PhasesData!$B$3,PhasesData!$C$3,PhasesData!$E$3,PhasesData!$F$3)</f>
        <v>10.009582677677608</v>
      </c>
      <c r="D8" s="3">
        <f>GLT(A8,PhasesData!$B$11,PhasesData!$E$11,PhasesData!$D$3)</f>
        <v>3.6071428571428572</v>
      </c>
      <c r="E8" s="3">
        <f>GTT(A8,PhasesData!$B$11,PhasesData!$E$11,PhasesData!$B$3,PhasesData!$C$3,PhasesData!$E$3,PhasesData!$F$3)</f>
        <v>3.2190472977578515</v>
      </c>
      <c r="F8" s="3">
        <f>KTT(A8,PhasesData!$B$11,PhasesData!$E$11,PhasesData!$B$3,PhasesData!$C$3,PhasesData!$E$3,PhasesData!$F$3)</f>
        <v>11.38872657666734</v>
      </c>
      <c r="G8" s="3">
        <f>nuLT(A8,PhasesData!$B$11,PhasesData!$E$11,PhasesData!$B$3,PhasesData!$C$3,PhasesData!$E$3,PhasesData!$F$3)</f>
        <v>0.28323182463543123</v>
      </c>
      <c r="H8" s="3">
        <f>nuTT(A8,PhasesData!$B$11,PhasesData!$E$11,PhasesData!$B$3,PhasesData!$C$3,PhasesData!$E$3,PhasesData!$F$3)</f>
        <v>0.55474302671003595</v>
      </c>
    </row>
    <row r="9" spans="1:8" x14ac:dyDescent="0.25">
      <c r="A9" s="8">
        <v>0.6</v>
      </c>
      <c r="B9" s="3">
        <f>EL(A9,PhasesData!$B$11,PhasesData!$E$11,PhasesData!$B$3,PhasesData!$C$3,PhasesData!$E$3,PhasesData!$F$3)</f>
        <v>301.44217283834917</v>
      </c>
      <c r="C9" s="3">
        <f>ET(A9,PhasesData!$B$11,PhasesData!$E$11,PhasesData!$B$3,PhasesData!$C$3,PhasesData!$E$3,PhasesData!$F$3)</f>
        <v>11.04813432040255</v>
      </c>
      <c r="D9" s="3">
        <f>GLT(A9,PhasesData!$B$11,PhasesData!$E$11,PhasesData!$D$3)</f>
        <v>4.0625</v>
      </c>
      <c r="E9" s="3">
        <f>GTT(A9,PhasesData!$B$11,PhasesData!$E$11,PhasesData!$B$3,PhasesData!$C$3,PhasesData!$E$3,PhasesData!$F$3)</f>
        <v>3.580612814238068</v>
      </c>
      <c r="F9" s="3">
        <f>KTT(A9,PhasesData!$B$11,PhasesData!$E$11,PhasesData!$B$3,PhasesData!$C$3,PhasesData!$E$3,PhasesData!$F$3)</f>
        <v>12.228254641301856</v>
      </c>
      <c r="G9" s="3">
        <f>nuLT(A9,PhasesData!$B$11,PhasesData!$E$11,PhasesData!$B$3,PhasesData!$C$3,PhasesData!$E$3,PhasesData!$F$3)</f>
        <v>0.27348148495249702</v>
      </c>
      <c r="H9" s="3">
        <f>nuTT(A9,PhasesData!$B$11,PhasesData!$E$11,PhasesData!$B$3,PhasesData!$C$3,PhasesData!$E$3,PhasesData!$F$3)</f>
        <v>0.54277143237470149</v>
      </c>
    </row>
    <row r="10" spans="1:8" x14ac:dyDescent="0.25">
      <c r="A10" s="8">
        <v>0.65</v>
      </c>
      <c r="B10" s="3">
        <f>EL(A10,PhasesData!$B$11,PhasesData!$E$11,PhasesData!$B$3,PhasesData!$C$3,PhasesData!$E$3,PhasesData!$F$3)</f>
        <v>326.26470672294454</v>
      </c>
      <c r="C10" s="3">
        <f>ET(A10,PhasesData!$B$11,PhasesData!$E$11,PhasesData!$B$3,PhasesData!$C$3,PhasesData!$E$3,PhasesData!$F$3)</f>
        <v>12.227676246306691</v>
      </c>
      <c r="D10" s="3">
        <f>GLT(A10,PhasesData!$B$11,PhasesData!$E$11,PhasesData!$D$3)</f>
        <v>4.612068965517242</v>
      </c>
      <c r="E10" s="3">
        <f>GTT(A10,PhasesData!$B$11,PhasesData!$E$11,PhasesData!$B$3,PhasesData!$C$3,PhasesData!$E$3,PhasesData!$F$3)</f>
        <v>3.992934987874456</v>
      </c>
      <c r="F10" s="3">
        <f>KTT(A10,PhasesData!$B$11,PhasesData!$E$11,PhasesData!$B$3,PhasesData!$C$3,PhasesData!$E$3,PhasesData!$F$3)</f>
        <v>13.187249696951101</v>
      </c>
      <c r="G10" s="3">
        <f>nuLT(A10,PhasesData!$B$11,PhasesData!$E$11,PhasesData!$B$3,PhasesData!$C$3,PhasesData!$E$3,PhasesData!$F$3)</f>
        <v>0.26386266419020832</v>
      </c>
      <c r="H10" s="3">
        <f>nuTT(A10,PhasesData!$B$11,PhasesData!$E$11,PhasesData!$B$3,PhasesData!$C$3,PhasesData!$E$3,PhasesData!$F$3)</f>
        <v>0.53116395376321957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E14" sqref="E14"/>
    </sheetView>
  </sheetViews>
  <sheetFormatPr defaultRowHeight="15" x14ac:dyDescent="0.25"/>
  <cols>
    <col min="1" max="1" width="10.42578125" customWidth="1"/>
    <col min="4" max="4" width="11" customWidth="1"/>
    <col min="5" max="5" width="14" customWidth="1"/>
    <col min="6" max="6" width="11" customWidth="1"/>
  </cols>
  <sheetData>
    <row r="1" spans="1:8" ht="24" customHeight="1" thickBot="1" x14ac:dyDescent="0.3">
      <c r="A1" s="4" t="s">
        <v>9</v>
      </c>
      <c r="B1" s="1" t="s">
        <v>1</v>
      </c>
      <c r="C1" s="1" t="s">
        <v>2</v>
      </c>
      <c r="D1" s="1" t="s">
        <v>3</v>
      </c>
      <c r="E1" s="1" t="s">
        <v>7</v>
      </c>
      <c r="F1" s="1" t="s">
        <v>8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EL(A2,PhasesData!$B$11,PhasesData!$E$11,PhasesData!$B$5,PhasesData!$C$5,PhasesData!$E$3,PhasesData!$F$5)</f>
        <v>3.5052382105497859</v>
      </c>
      <c r="C2" s="3">
        <f>ET(A2,PhasesData!$B$11,PhasesData!$E$11,PhasesData!$B$5,PhasesData!$C$5,PhasesData!$E$3,PhasesData!$F$5)</f>
        <v>3.5012342435218726</v>
      </c>
      <c r="D2" s="3">
        <f>GLT(A2,PhasesData!$B$11,PhasesData!$E$11,PhasesData!$D$5)</f>
        <v>1.250180241882809</v>
      </c>
      <c r="E2" s="3">
        <f>GTT(A2,PhasesData!$B$11,PhasesData!$E$11,PhasesData!$B$5,PhasesData!$C$5,PhasesData!$E$5,PhasesData!$F$5)</f>
        <v>1.2501563134136551</v>
      </c>
      <c r="F2" s="3">
        <f>KTT(A2,PhasesData!$B$11,PhasesData!$E$11,PhasesData!$B$5,PhasesData!$C$5,PhasesData!$E$5,PhasesData!$F$5)</f>
        <v>6.2505004786035219</v>
      </c>
      <c r="G2" s="3">
        <f>nuLT(A2,PhasesData!$B$11,PhasesData!$E$11,PhasesData!$B$5,PhasesData!$C$5,PhasesData!$E$5,PhasesData!$F$5)</f>
        <v>0.39998162324086134</v>
      </c>
      <c r="H2" s="3">
        <f>nuTT(A2,PhasesData!$B$11,PhasesData!$E$11,PhasesData!$B$5,PhasesData!$C$5,PhasesData!$E$5,PhasesData!$F$5)</f>
        <v>0.40031858654597485</v>
      </c>
    </row>
    <row r="3" spans="1:8" x14ac:dyDescent="0.25">
      <c r="A3" s="7">
        <f>0.25*PI()/(28*28)</f>
        <v>1.0017833716804187E-3</v>
      </c>
      <c r="B3" s="3">
        <f>EL(A3,PhasesData!$B$11,PhasesData!$E$11,PhasesData!$B$5,PhasesData!$C$5,PhasesData!$E$3,PhasesData!$F$5)</f>
        <v>3.5668136991290007</v>
      </c>
      <c r="C3" s="3">
        <f>ET(A3,PhasesData!$B$11,PhasesData!$E$11,PhasesData!$B$5,PhasesData!$C$5,PhasesData!$E$3,PhasesData!$F$5)</f>
        <v>3.5156082885888544</v>
      </c>
      <c r="D3" s="3">
        <f>GLT(A3,PhasesData!$B$11,PhasesData!$E$11,PhasesData!$D$5)</f>
        <v>1.2523009536762892</v>
      </c>
      <c r="E3" s="3">
        <f>GTT(A3,PhasesData!$B$11,PhasesData!$E$11,PhasesData!$B$5,PhasesData!$C$5,PhasesData!$E$5,PhasesData!$F$5)</f>
        <v>1.2519955072929756</v>
      </c>
      <c r="F3" s="3">
        <f>KTT(A3,PhasesData!$B$11,PhasesData!$E$11,PhasesData!$B$5,PhasesData!$C$5,PhasesData!$E$5,PhasesData!$F$5)</f>
        <v>6.2563886670784266</v>
      </c>
      <c r="G3" s="3">
        <f>nuLT(A3,PhasesData!$B$11,PhasesData!$E$11,PhasesData!$B$5,PhasesData!$C$5,PhasesData!$E$5,PhasesData!$F$5)</f>
        <v>0.39976563932667131</v>
      </c>
      <c r="H3" s="3">
        <f>nuTT(A3,PhasesData!$B$11,PhasesData!$E$11,PhasesData!$B$5,PhasesData!$C$5,PhasesData!$E$5,PhasesData!$F$5)</f>
        <v>0.40400195851748277</v>
      </c>
    </row>
    <row r="4" spans="1:8" x14ac:dyDescent="0.25">
      <c r="A4" s="8">
        <v>0.2</v>
      </c>
      <c r="B4" s="3">
        <f>EL(A4,PhasesData!$B$11,PhasesData!$E$11,PhasesData!$B$5,PhasesData!$C$5,PhasesData!$E$3,PhasesData!$F$5)</f>
        <v>16.830172413793104</v>
      </c>
      <c r="C4" s="3">
        <f>ET(A4,PhasesData!$B$11,PhasesData!$E$11,PhasesData!$B$5,PhasesData!$C$5,PhasesData!$E$3,PhasesData!$F$5)</f>
        <v>5.5075491440714401</v>
      </c>
      <c r="D4" s="3">
        <f>GLT(A4,PhasesData!$B$11,PhasesData!$E$11,PhasesData!$D$5)</f>
        <v>1.8121480289621883</v>
      </c>
      <c r="E4" s="3">
        <f>GTT(A4,PhasesData!$B$11,PhasesData!$E$11,PhasesData!$B$5,PhasesData!$C$5,PhasesData!$E$5,PhasesData!$F$5)</f>
        <v>1.7608143220560293</v>
      </c>
      <c r="F4" s="3">
        <f>KTT(A4,PhasesData!$B$11,PhasesData!$E$11,PhasesData!$B$5,PhasesData!$C$5,PhasesData!$E$5,PhasesData!$F$5)</f>
        <v>7.7852348993288603</v>
      </c>
      <c r="G4" s="3">
        <f>nuLT(A4,PhasesData!$B$11,PhasesData!$E$11,PhasesData!$B$5,PhasesData!$C$5,PhasesData!$E$5,PhasesData!$F$5)</f>
        <v>0.35474137931034494</v>
      </c>
      <c r="H4" s="3">
        <f>nuTT(A4,PhasesData!$B$11,PhasesData!$E$11,PhasesData!$B$5,PhasesData!$C$5,PhasesData!$E$5,PhasesData!$F$5)</f>
        <v>0.56392104354322425</v>
      </c>
    </row>
    <row r="5" spans="1:8" x14ac:dyDescent="0.25">
      <c r="A5" s="8">
        <v>0.3</v>
      </c>
      <c r="B5" s="3">
        <f>EL(A5,PhasesData!$B$11,PhasesData!$E$11,PhasesData!$B$5,PhasesData!$C$5,PhasesData!$E$3,PhasesData!$F$5)</f>
        <v>23.488961038961037</v>
      </c>
      <c r="C5" s="3">
        <f>ET(A5,PhasesData!$B$11,PhasesData!$E$11,PhasesData!$B$5,PhasesData!$C$5,PhasesData!$E$3,PhasesData!$F$5)</f>
        <v>6.7099213568026839</v>
      </c>
      <c r="D5" s="3">
        <f>GLT(A5,PhasesData!$B$11,PhasesData!$E$11,PhasesData!$D$5)</f>
        <v>2.2000339904826651</v>
      </c>
      <c r="E5" s="3">
        <f>GTT(A5,PhasesData!$B$11,PhasesData!$E$11,PhasesData!$B$5,PhasesData!$C$5,PhasesData!$E$5,PhasesData!$F$5)</f>
        <v>2.1561612190176525</v>
      </c>
      <c r="F5" s="3">
        <f>KTT(A5,PhasesData!$B$11,PhasesData!$E$11,PhasesData!$B$5,PhasesData!$C$5,PhasesData!$E$5,PhasesData!$F$5)</f>
        <v>8.8154205607476648</v>
      </c>
      <c r="G5" s="3">
        <f>nuLT(A5,PhasesData!$B$11,PhasesData!$E$11,PhasesData!$B$5,PhasesData!$C$5,PhasesData!$E$5,PhasesData!$F$5)</f>
        <v>0.33320964749536175</v>
      </c>
      <c r="H5" s="3">
        <f>nuTT(A5,PhasesData!$B$11,PhasesData!$E$11,PhasesData!$B$5,PhasesData!$C$5,PhasesData!$E$5,PhasesData!$F$5)</f>
        <v>0.55598785879743384</v>
      </c>
    </row>
    <row r="6" spans="1:8" x14ac:dyDescent="0.25">
      <c r="A6" s="8">
        <v>0.4</v>
      </c>
      <c r="B6" s="3">
        <f>EL(A6,PhasesData!$B$11,PhasesData!$E$11,PhasesData!$B$5,PhasesData!$C$5,PhasesData!$E$3,PhasesData!$F$5)</f>
        <v>30.143818466353679</v>
      </c>
      <c r="C6" s="3">
        <f>ET(A6,PhasesData!$B$11,PhasesData!$E$11,PhasesData!$B$5,PhasesData!$C$5,PhasesData!$E$3,PhasesData!$F$5)</f>
        <v>8.3292835081196124</v>
      </c>
      <c r="D6" s="3">
        <f>GLT(A6,PhasesData!$B$11,PhasesData!$E$11,PhasesData!$D$5)</f>
        <v>2.7004411001556825</v>
      </c>
      <c r="E6" s="3">
        <f>GTT(A6,PhasesData!$B$11,PhasesData!$E$11,PhasesData!$B$5,PhasesData!$C$5,PhasesData!$E$5,PhasesData!$F$5)</f>
        <v>2.7145772231312284</v>
      </c>
      <c r="F6" s="3">
        <f>KTT(A6,PhasesData!$B$11,PhasesData!$E$11,PhasesData!$B$5,PhasesData!$C$5,PhasesData!$E$5,PhasesData!$F$5)</f>
        <v>10.110759493670889</v>
      </c>
      <c r="G6" s="3">
        <f>nuLT(A6,PhasesData!$B$11,PhasesData!$E$11,PhasesData!$B$5,PhasesData!$C$5,PhasesData!$E$5,PhasesData!$F$5)</f>
        <v>0.31236306729264479</v>
      </c>
      <c r="H6" s="3">
        <f>nuTT(A6,PhasesData!$B$11,PhasesData!$E$11,PhasesData!$B$5,PhasesData!$C$5,PhasesData!$E$5,PhasesData!$F$5)</f>
        <v>0.53417693133664024</v>
      </c>
    </row>
    <row r="7" spans="1:8" x14ac:dyDescent="0.25">
      <c r="A7" s="8">
        <v>0.5</v>
      </c>
      <c r="B7" s="3">
        <f>EL(A7,PhasesData!$B$11,PhasesData!$E$11,PhasesData!$B$5,PhasesData!$C$5,PhasesData!$E$3,PhasesData!$F$5)</f>
        <v>36.79492939666239</v>
      </c>
      <c r="C7" s="3">
        <f>ET(A7,PhasesData!$B$11,PhasesData!$E$11,PhasesData!$B$5,PhasesData!$C$5,PhasesData!$E$3,PhasesData!$F$5)</f>
        <v>10.568683351661271</v>
      </c>
      <c r="D7" s="3">
        <f>GLT(A7,PhasesData!$B$11,PhasesData!$E$11,PhasesData!$D$5)</f>
        <v>3.3706373292867982</v>
      </c>
      <c r="E7" s="3">
        <f>GTT(A7,PhasesData!$B$11,PhasesData!$E$11,PhasesData!$B$5,PhasesData!$C$5,PhasesData!$E$5,PhasesData!$F$5)</f>
        <v>3.5165441427769983</v>
      </c>
      <c r="F7" s="3">
        <f>KTT(A7,PhasesData!$B$11,PhasesData!$E$11,PhasesData!$B$5,PhasesData!$C$5,PhasesData!$E$5,PhasesData!$F$5)</f>
        <v>11.788740920096854</v>
      </c>
      <c r="G7" s="3">
        <f>nuLT(A7,PhasesData!$B$11,PhasesData!$E$11,PhasesData!$B$5,PhasesData!$C$5,PhasesData!$E$5,PhasesData!$F$5)</f>
        <v>0.29216944801026962</v>
      </c>
      <c r="H7" s="3">
        <f>nuTT(A7,PhasesData!$B$11,PhasesData!$E$11,PhasesData!$B$5,PhasesData!$C$5,PhasesData!$E$5,PhasesData!$F$5)</f>
        <v>0.50270875646043089</v>
      </c>
    </row>
    <row r="8" spans="1:8" x14ac:dyDescent="0.25">
      <c r="A8" s="8">
        <v>0.55000000000000004</v>
      </c>
      <c r="B8" s="3">
        <f>EL(A8,PhasesData!$B$11,PhasesData!$E$11,PhasesData!$B$5,PhasesData!$C$5,PhasesData!$E$3,PhasesData!$F$5)</f>
        <v>40.119134505158584</v>
      </c>
      <c r="C8" s="3">
        <f>ET(A8,PhasesData!$B$11,PhasesData!$E$11,PhasesData!$B$5,PhasesData!$C$5,PhasesData!$E$3,PhasesData!$F$5)</f>
        <v>12.004927225593008</v>
      </c>
      <c r="D8" s="3">
        <f>GLT(A8,PhasesData!$B$11,PhasesData!$E$11,PhasesData!$D$5)</f>
        <v>3.7989139446194664</v>
      </c>
      <c r="E8" s="3">
        <f>GTT(A8,PhasesData!$B$11,PhasesData!$E$11,PhasesData!$B$5,PhasesData!$C$5,PhasesData!$E$5,PhasesData!$F$5)</f>
        <v>4.0436952756902649</v>
      </c>
      <c r="F8" s="3">
        <f>KTT(A8,PhasesData!$B$11,PhasesData!$E$11,PhasesData!$B$5,PhasesData!$C$5,PhasesData!$E$5,PhasesData!$F$5)</f>
        <v>12.828431372549021</v>
      </c>
      <c r="G8" s="3">
        <f>nuLT(A8,PhasesData!$B$11,PhasesData!$E$11,PhasesData!$B$5,PhasesData!$C$5,PhasesData!$E$5,PhasesData!$F$5)</f>
        <v>0.28230798624379061</v>
      </c>
      <c r="H8" s="3">
        <f>nuTT(A8,PhasesData!$B$11,PhasesData!$E$11,PhasesData!$B$5,PhasesData!$C$5,PhasesData!$E$5,PhasesData!$F$5)</f>
        <v>0.48440058005406317</v>
      </c>
    </row>
    <row r="9" spans="1:8" x14ac:dyDescent="0.25">
      <c r="A9" s="8">
        <v>0.6</v>
      </c>
      <c r="B9" s="3">
        <f>EL(A9,PhasesData!$B$11,PhasesData!$E$11,PhasesData!$B$5,PhasesData!$C$5,PhasesData!$E$3,PhasesData!$F$5)</f>
        <v>43.44246713852376</v>
      </c>
      <c r="C9" s="3">
        <f>ET(A9,PhasesData!$B$11,PhasesData!$E$11,PhasesData!$B$5,PhasesData!$C$5,PhasesData!$E$3,PhasesData!$F$5)</f>
        <v>13.714481182774906</v>
      </c>
      <c r="D9" s="3">
        <f>GLT(A9,PhasesData!$B$11,PhasesData!$E$11,PhasesData!$D$5)</f>
        <v>4.3146929824561404</v>
      </c>
      <c r="E9" s="3">
        <f>GTT(A9,PhasesData!$B$11,PhasesData!$E$11,PhasesData!$B$5,PhasesData!$C$5,PhasesData!$E$5,PhasesData!$F$5)</f>
        <v>4.6808295679436451</v>
      </c>
      <c r="F9" s="3">
        <f>KTT(A9,PhasesData!$B$11,PhasesData!$E$11,PhasesData!$B$5,PhasesData!$C$5,PhasesData!$E$5,PhasesData!$F$5)</f>
        <v>14.048295454545455</v>
      </c>
      <c r="G9" s="3">
        <f>nuLT(A9,PhasesData!$B$11,PhasesData!$E$11,PhasesData!$B$5,PhasesData!$C$5,PhasesData!$E$5,PhasesData!$F$5)</f>
        <v>0.27259858442871593</v>
      </c>
      <c r="H9" s="3">
        <f>nuTT(A9,PhasesData!$B$11,PhasesData!$E$11,PhasesData!$B$5,PhasesData!$C$5,PhasesData!$E$5,PhasesData!$F$5)</f>
        <v>0.46496267207608155</v>
      </c>
    </row>
    <row r="10" spans="1:8" x14ac:dyDescent="0.25">
      <c r="A10" s="8">
        <v>0.65</v>
      </c>
      <c r="B10" s="3">
        <f>EL(A10,PhasesData!$B$11,PhasesData!$E$11,PhasesData!$B$5,PhasesData!$C$5,PhasesData!$E$3,PhasesData!$F$5)</f>
        <v>46.764947322212471</v>
      </c>
      <c r="C10" s="3">
        <f>ET(A10,PhasesData!$B$11,PhasesData!$E$11,PhasesData!$B$5,PhasesData!$C$5,PhasesData!$E$3,PhasesData!$F$5)</f>
        <v>15.764128006940544</v>
      </c>
      <c r="D10" s="3">
        <f>GLT(A10,PhasesData!$B$11,PhasesData!$E$11,PhasesData!$D$5)</f>
        <v>4.947842458782822</v>
      </c>
      <c r="E10" s="3">
        <f>GTT(A10,PhasesData!$B$11,PhasesData!$E$11,PhasesData!$B$5,PhasesData!$C$5,PhasesData!$E$5,PhasesData!$F$5)</f>
        <v>5.4553919278181793</v>
      </c>
      <c r="F10" s="3">
        <f>KTT(A10,PhasesData!$B$11,PhasesData!$E$11,PhasesData!$B$5,PhasesData!$C$5,PhasesData!$E$5,PhasesData!$F$5)</f>
        <v>15.499611197511667</v>
      </c>
      <c r="G10" s="3">
        <f>nuLT(A10,PhasesData!$B$11,PhasesData!$E$11,PhasesData!$B$5,PhasesData!$C$5,PhasesData!$E$5,PhasesData!$F$5)</f>
        <v>0.26303775241439864</v>
      </c>
      <c r="H10" s="3">
        <f>nuTT(A10,PhasesData!$B$11,PhasesData!$E$11,PhasesData!$B$5,PhasesData!$C$5,PhasesData!$E$5,PhasesData!$F$5)</f>
        <v>0.44482085022672457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PhasesData</vt:lpstr>
      <vt:lpstr>CF-EP</vt:lpstr>
      <vt:lpstr>GF-EP</vt:lpstr>
      <vt:lpstr>DundursParameter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2018-08-22T11:43:56Z</dcterms:modified>
</cp:coreProperties>
</file>