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2_Local-folder\01_Luca\01_WD\thinPlyMechanics\VBA\"/>
    </mc:Choice>
  </mc:AlternateContent>
  <xr:revisionPtr revIDLastSave="0" documentId="13_ncr:1_{A9E5A5D9-DF7B-4EA9-9C84-6F441E359C0C}" xr6:coauthVersionLast="31" xr6:coauthVersionMax="31" xr10:uidLastSave="{00000000-0000-0000-0000-000000000000}"/>
  <bookViews>
    <workbookView xWindow="0" yWindow="0" windowWidth="14655" windowHeight="4170" activeTab="1" xr2:uid="{7EA44CFA-61CB-4590-B692-EBB6A39992B8}"/>
  </bookViews>
  <sheets>
    <sheet name="PhasesData" sheetId="1" r:id="rId1"/>
    <sheet name="CF-EP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A2" i="2"/>
  <c r="H3" i="2"/>
  <c r="H7" i="2"/>
  <c r="H5" i="2"/>
  <c r="H6" i="2"/>
  <c r="H4" i="2"/>
  <c r="H8" i="2"/>
  <c r="H9" i="2"/>
  <c r="H10" i="2"/>
  <c r="H2" i="2"/>
  <c r="C10" i="2"/>
  <c r="C9" i="2"/>
  <c r="G7" i="2"/>
  <c r="G5" i="2"/>
  <c r="F3" i="2"/>
  <c r="F8" i="2"/>
  <c r="F2" i="2"/>
  <c r="E4" i="2"/>
  <c r="E6" i="2"/>
  <c r="D10" i="2"/>
  <c r="D9" i="2"/>
  <c r="B4" i="2"/>
  <c r="B8" i="2"/>
  <c r="B10" i="2"/>
  <c r="G3" i="2"/>
  <c r="F4" i="2"/>
  <c r="E9" i="2"/>
  <c r="B2" i="2"/>
  <c r="C4" i="2"/>
  <c r="C6" i="2"/>
  <c r="G10" i="2"/>
  <c r="G9" i="2"/>
  <c r="F7" i="2"/>
  <c r="F5" i="2"/>
  <c r="E3" i="2"/>
  <c r="E8" i="2"/>
  <c r="E2" i="2"/>
  <c r="D4" i="2"/>
  <c r="D6" i="2"/>
  <c r="B3" i="2"/>
  <c r="B6" i="2"/>
  <c r="C7" i="2"/>
  <c r="G8" i="2"/>
  <c r="F6" i="2"/>
  <c r="D7" i="2"/>
  <c r="D5" i="2"/>
  <c r="B5" i="2"/>
  <c r="C3" i="2"/>
  <c r="C8" i="2"/>
  <c r="C2" i="2"/>
  <c r="G4" i="2"/>
  <c r="G6" i="2"/>
  <c r="F10" i="2"/>
  <c r="F9" i="2"/>
  <c r="E7" i="2"/>
  <c r="E5" i="2"/>
  <c r="D3" i="2"/>
  <c r="D8" i="2"/>
  <c r="D2" i="2"/>
  <c r="B7" i="2"/>
  <c r="C5" i="2"/>
  <c r="G2" i="2"/>
  <c r="E10" i="2"/>
  <c r="B9" i="2"/>
</calcChain>
</file>

<file path=xl/sharedStrings.xml><?xml version="1.0" encoding="utf-8"?>
<sst xmlns="http://schemas.openxmlformats.org/spreadsheetml/2006/main" count="17" uniqueCount="12">
  <si>
    <t>Material</t>
  </si>
  <si>
    <r>
      <t>E</t>
    </r>
    <r>
      <rPr>
        <b/>
        <vertAlign val="subscript"/>
        <sz val="12"/>
        <color theme="1"/>
        <rFont val="Calibri"/>
        <family val="2"/>
        <scheme val="minor"/>
      </rPr>
      <t>1</t>
    </r>
    <r>
      <rPr>
        <b/>
        <sz val="12"/>
        <color theme="1"/>
        <rFont val="Calibri"/>
        <family val="2"/>
        <scheme val="minor"/>
      </rPr>
      <t xml:space="preserve"> [Gpa]</t>
    </r>
  </si>
  <si>
    <r>
      <t>E</t>
    </r>
    <r>
      <rPr>
        <b/>
        <vertAlign val="subscript"/>
        <sz val="12"/>
        <color theme="1"/>
        <rFont val="Calibri"/>
        <family val="2"/>
        <scheme val="minor"/>
      </rPr>
      <t>2</t>
    </r>
    <r>
      <rPr>
        <b/>
        <sz val="12"/>
        <color theme="1"/>
        <rFont val="Calibri"/>
        <family val="2"/>
        <scheme val="minor"/>
      </rPr>
      <t xml:space="preserve"> [Gpa]</t>
    </r>
  </si>
  <si>
    <r>
      <t>G</t>
    </r>
    <r>
      <rPr>
        <b/>
        <vertAlign val="subscript"/>
        <sz val="12"/>
        <color theme="1"/>
        <rFont val="Calibri"/>
        <family val="2"/>
        <scheme val="minor"/>
      </rPr>
      <t>12</t>
    </r>
    <r>
      <rPr>
        <b/>
        <sz val="12"/>
        <color theme="1"/>
        <rFont val="Calibri"/>
        <family val="2"/>
        <scheme val="minor"/>
      </rPr>
      <t xml:space="preserve"> [Gpa]</t>
    </r>
  </si>
  <si>
    <r>
      <rPr>
        <b/>
        <sz val="12"/>
        <color theme="1"/>
        <rFont val="Calibri"/>
        <family val="2"/>
      </rPr>
      <t>ν</t>
    </r>
    <r>
      <rPr>
        <b/>
        <vertAlign val="subscript"/>
        <sz val="12"/>
        <color theme="1"/>
        <rFont val="Calibri"/>
        <family val="2"/>
        <scheme val="minor"/>
      </rPr>
      <t>12</t>
    </r>
    <r>
      <rPr>
        <b/>
        <sz val="12"/>
        <color theme="1"/>
        <rFont val="Calibri"/>
        <family val="2"/>
        <scheme val="minor"/>
      </rPr>
      <t xml:space="preserve"> [-]</t>
    </r>
  </si>
  <si>
    <r>
      <rPr>
        <b/>
        <sz val="12"/>
        <color theme="1"/>
        <rFont val="Calibri"/>
        <family val="2"/>
      </rPr>
      <t>ν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[-]</t>
    </r>
  </si>
  <si>
    <t>CF</t>
  </si>
  <si>
    <t>GF</t>
  </si>
  <si>
    <t>EP</t>
  </si>
  <si>
    <r>
      <t>G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[Gpa]</t>
    </r>
  </si>
  <si>
    <r>
      <t>K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[Gpa]</t>
    </r>
  </si>
  <si>
    <t>VFf 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</si>
</sst>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%"/>
    <numFmt numFmtId="165" formatCode="0.0%"/>
  </numFmts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9" fontId="0" fillId="2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A0F64-F04F-43EF-9CFA-EA2577E5F82B}">
  <sheetPr codeName="Sheet1"/>
  <dimension ref="A1:F4"/>
  <sheetViews>
    <sheetView workbookViewId="0">
      <selection activeCell="C10" sqref="C10"/>
    </sheetView>
  </sheetViews>
  <sheetFormatPr defaultRowHeight="15" x14ac:dyDescent="0.25"/>
  <cols>
    <col min="1" max="1" width="9.5703125" customWidth="1"/>
    <col min="2" max="2" width="10.140625" customWidth="1"/>
    <col min="3" max="3" width="10.42578125" customWidth="1"/>
    <col min="4" max="4" width="11.140625" customWidth="1"/>
    <col min="5" max="5" width="9.5703125" customWidth="1"/>
    <col min="6" max="6" width="10.28515625" customWidth="1"/>
  </cols>
  <sheetData>
    <row r="1" spans="1:6" ht="19.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2" t="s">
        <v>6</v>
      </c>
      <c r="B2" s="3">
        <v>500</v>
      </c>
      <c r="C2" s="3">
        <v>30</v>
      </c>
      <c r="D2" s="3">
        <v>20</v>
      </c>
      <c r="E2" s="3">
        <v>0.2</v>
      </c>
      <c r="F2" s="3">
        <v>0.45</v>
      </c>
    </row>
    <row r="3" spans="1:6" x14ac:dyDescent="0.25">
      <c r="A3" s="2" t="s">
        <v>7</v>
      </c>
      <c r="B3" s="3">
        <v>70</v>
      </c>
      <c r="C3" s="3">
        <v>70</v>
      </c>
      <c r="D3" s="3">
        <v>29.2</v>
      </c>
      <c r="E3" s="3">
        <v>0.2</v>
      </c>
      <c r="F3" s="3">
        <v>0.2</v>
      </c>
    </row>
    <row r="4" spans="1:6" x14ac:dyDescent="0.25">
      <c r="A4" s="2" t="s">
        <v>8</v>
      </c>
      <c r="B4" s="3">
        <v>3.5</v>
      </c>
      <c r="C4" s="3">
        <v>3.5</v>
      </c>
      <c r="D4" s="3">
        <v>1.25</v>
      </c>
      <c r="E4" s="3">
        <v>0.4</v>
      </c>
      <c r="F4" s="3">
        <v>0.4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F831B-DAB2-4316-9016-D54EACF6792D}">
  <sheetPr codeName="Sheet2"/>
  <dimension ref="A1:H10"/>
  <sheetViews>
    <sheetView tabSelected="1" workbookViewId="0">
      <selection activeCell="K17" sqref="K17"/>
    </sheetView>
  </sheetViews>
  <sheetFormatPr defaultRowHeight="15" x14ac:dyDescent="0.25"/>
  <cols>
    <col min="1" max="1" width="10.42578125" customWidth="1"/>
    <col min="4" max="6" width="11" customWidth="1"/>
  </cols>
  <sheetData>
    <row r="1" spans="1:8" ht="24" customHeight="1" thickBot="1" x14ac:dyDescent="0.3">
      <c r="A1" s="1" t="s">
        <v>11</v>
      </c>
      <c r="B1" s="1" t="s">
        <v>1</v>
      </c>
      <c r="C1" s="1" t="s">
        <v>2</v>
      </c>
      <c r="D1" s="1" t="s">
        <v>3</v>
      </c>
      <c r="E1" s="1" t="s">
        <v>9</v>
      </c>
      <c r="F1" s="1" t="s">
        <v>10</v>
      </c>
      <c r="G1" s="1" t="s">
        <v>4</v>
      </c>
      <c r="H1" s="1" t="s">
        <v>5</v>
      </c>
    </row>
    <row r="2" spans="1:8" x14ac:dyDescent="0.25">
      <c r="A2" s="4">
        <f>0.25*PI()/(100*100)</f>
        <v>7.8539816339744827E-5</v>
      </c>
      <c r="B2" s="7">
        <f>EL(A2,PhasesData!$B$4,PhasesData!$E$4,PhasesData!$B$2,PhasesData!$C$2,PhasesData!$E$2,PhasesData!$F$2)</f>
        <v>3.5390100427713431</v>
      </c>
      <c r="C2" s="7">
        <f>ET(A2,PhasesData!$B$4,PhasesData!$E$4,PhasesData!$B$2,PhasesData!$C$2,PhasesData!$E$2,PhasesData!$F$2)</f>
        <v>3.5065271955667638</v>
      </c>
      <c r="D2" s="7">
        <f>GLT(A2,PhasesData!$B$4,PhasesData!$E$4,PhasesData!$D$2)</f>
        <v>1.2501732616018679</v>
      </c>
      <c r="E2" s="7">
        <f>GTT(A2,PhasesData!$B$4,PhasesData!$E$4,PhasesData!$B$2,PhasesData!$C$2,PhasesData!$E$2,PhasesData!$F$2)</f>
        <v>1.2501362160658793</v>
      </c>
      <c r="F2" s="7">
        <f>KTT(A2,PhasesData!$B$4,PhasesData!$E$4,PhasesData!$B$2,PhasesData!$C$2,PhasesData!$E$2,PhasesData!$F$2)</f>
        <v>6.2504354776422835</v>
      </c>
      <c r="G2" s="7">
        <f>nuLT(A2,PhasesData!$B$4,PhasesData!$E$4,PhasesData!$B$2,PhasesData!$C$2,PhasesData!$E$2,PhasesData!$F$2)</f>
        <v>0.39998196983352186</v>
      </c>
      <c r="H2" s="7">
        <f>nuTT(A2,PhasesData!$B$4,PhasesData!$E$4,PhasesData!$B$2,PhasesData!$C$2,PhasesData!$E$2,PhasesData!$F$2)</f>
        <v>0.40245804837237764</v>
      </c>
    </row>
    <row r="3" spans="1:8" x14ac:dyDescent="0.25">
      <c r="A3" s="6">
        <f>0.25*PI()/(28*28)</f>
        <v>1.0017833716804187E-3</v>
      </c>
      <c r="B3" s="7">
        <f>EL(A3,PhasesData!$B$4,PhasesData!$E$4,PhasesData!$B$2,PhasesData!$C$2,PhasesData!$E$2,PhasesData!$F$2)</f>
        <v>3.9975768730981223</v>
      </c>
      <c r="C3" s="7">
        <f>ET(A3,PhasesData!$B$4,PhasesData!$E$4,PhasesData!$B$2,PhasesData!$C$2,PhasesData!$E$2,PhasesData!$F$2)</f>
        <v>3.5756079479034582</v>
      </c>
      <c r="D3" s="7">
        <f>GLT(A3,PhasesData!$B$4,PhasesData!$E$4,PhasesData!$D$2)</f>
        <v>1.2522117713043375</v>
      </c>
      <c r="E3" s="7">
        <f>GTT(A3,PhasesData!$B$4,PhasesData!$E$4,PhasesData!$B$2,PhasesData!$C$2,PhasesData!$E$2,PhasesData!$F$2)</f>
        <v>1.2517387490869614</v>
      </c>
      <c r="F3" s="7">
        <f>KTT(A3,PhasesData!$B$4,PhasesData!$E$4,PhasesData!$B$2,PhasesData!$C$2,PhasesData!$E$2,PhasesData!$F$2)</f>
        <v>6.2555583555891134</v>
      </c>
      <c r="G3" s="7">
        <f>nuLT(A3,PhasesData!$B$4,PhasesData!$E$4,PhasesData!$B$2,PhasesData!$C$2,PhasesData!$E$2,PhasesData!$F$2)</f>
        <v>0.3997700547741429</v>
      </c>
      <c r="H3" s="7">
        <f>nuTT(A3,PhasesData!$B$4,PhasesData!$E$4,PhasesData!$B$2,PhasesData!$C$2,PhasesData!$E$2,PhasesData!$F$2)</f>
        <v>0.42825647544727885</v>
      </c>
    </row>
    <row r="4" spans="1:8" x14ac:dyDescent="0.25">
      <c r="A4" s="5">
        <v>0.2</v>
      </c>
      <c r="B4" s="7">
        <f>EL(A4,PhasesData!$B$4,PhasesData!$E$4,PhasesData!$B$2,PhasesData!$C$2,PhasesData!$E$2,PhasesData!$F$2)</f>
        <v>102.82973019844907</v>
      </c>
      <c r="C4" s="7">
        <f>ET(A4,PhasesData!$B$4,PhasesData!$E$4,PhasesData!$B$2,PhasesData!$C$2,PhasesData!$E$2,PhasesData!$F$2)</f>
        <v>5.4164386432224925</v>
      </c>
      <c r="D4" s="7">
        <f>GLT(A4,PhasesData!$B$4,PhasesData!$E$4,PhasesData!$D$2)</f>
        <v>1.7857142857142856</v>
      </c>
      <c r="E4" s="7">
        <f>GTT(A4,PhasesData!$B$4,PhasesData!$E$4,PhasesData!$B$2,PhasesData!$C$2,PhasesData!$E$2,PhasesData!$F$2)</f>
        <v>1.6638336820083683</v>
      </c>
      <c r="F4" s="7">
        <f>KTT(A4,PhasesData!$B$4,PhasesData!$E$4,PhasesData!$B$2,PhasesData!$C$2,PhasesData!$E$2,PhasesData!$F$2)</f>
        <v>7.5512609443987149</v>
      </c>
      <c r="G4" s="7">
        <f>nuLT(A4,PhasesData!$B$4,PhasesData!$E$4,PhasesData!$B$2,PhasesData!$C$2,PhasesData!$E$2,PhasesData!$F$2)</f>
        <v>0.3554047023263881</v>
      </c>
      <c r="H4" s="7">
        <f>nuTT(A4,PhasesData!$B$4,PhasesData!$E$4,PhasesData!$B$2,PhasesData!$C$2,PhasesData!$E$2,PhasesData!$F$2)</f>
        <v>0.62769833962143906</v>
      </c>
    </row>
    <row r="5" spans="1:8" x14ac:dyDescent="0.25">
      <c r="A5" s="5">
        <v>0.3</v>
      </c>
      <c r="B5" s="7">
        <f>EL(A5,PhasesData!$B$4,PhasesData!$E$4,PhasesData!$B$2,PhasesData!$C$2,PhasesData!$E$2,PhasesData!$F$2)</f>
        <v>152.48846846654311</v>
      </c>
      <c r="C5" s="7">
        <f>ET(A5,PhasesData!$B$4,PhasesData!$E$4,PhasesData!$B$2,PhasesData!$C$2,PhasesData!$E$2,PhasesData!$F$2)</f>
        <v>6.2647100241167522</v>
      </c>
      <c r="D5" s="7">
        <f>GLT(A5,PhasesData!$B$4,PhasesData!$E$4,PhasesData!$D$2)</f>
        <v>2.15</v>
      </c>
      <c r="E5" s="7">
        <f>GTT(A5,PhasesData!$B$4,PhasesData!$E$4,PhasesData!$B$2,PhasesData!$C$2,PhasesData!$E$2,PhasesData!$F$2)</f>
        <v>1.937097474491642</v>
      </c>
      <c r="F5" s="7">
        <f>KTT(A5,PhasesData!$B$4,PhasesData!$E$4,PhasesData!$B$2,PhasesData!$C$2,PhasesData!$E$2,PhasesData!$F$2)</f>
        <v>8.3873041073440557</v>
      </c>
      <c r="G5" s="7">
        <f>nuLT(A5,PhasesData!$B$4,PhasesData!$E$4,PhasesData!$B$2,PhasesData!$C$2,PhasesData!$E$2,PhasesData!$F$2)</f>
        <v>0.33405405735465177</v>
      </c>
      <c r="H5" s="7">
        <f>nuTT(A5,PhasesData!$B$4,PhasesData!$E$4,PhasesData!$B$2,PhasesData!$C$2,PhasesData!$E$2,PhasesData!$F$2)</f>
        <v>0.61703530839634646</v>
      </c>
    </row>
    <row r="6" spans="1:8" x14ac:dyDescent="0.25">
      <c r="A6" s="8">
        <v>0.4</v>
      </c>
      <c r="B6" s="10">
        <f>EL(A6,PhasesData!$B$4,PhasesData!$E$4,PhasesData!$B$2,PhasesData!$C$2,PhasesData!$E$2,PhasesData!$F$2)</f>
        <v>202.14335025197335</v>
      </c>
      <c r="C6" s="11">
        <f>ET(A6,PhasesData!$B$4,PhasesData!$E$4,PhasesData!$B$2,PhasesData!$C$2,PhasesData!$E$2,PhasesData!$F$2)</f>
        <v>7.3014653366353182</v>
      </c>
      <c r="D6" s="10">
        <f>GLT(A6,PhasesData!$B$4,PhasesData!$E$4,PhasesData!$D$2)</f>
        <v>2.6136363636363638</v>
      </c>
      <c r="E6" s="9">
        <f>GTT(A6,PhasesData!$B$4,PhasesData!$E$4,PhasesData!$B$2,PhasesData!$C$2,PhasesData!$E$2,PhasesData!$F$2)</f>
        <v>2.2757656781720952</v>
      </c>
      <c r="F6" s="9">
        <f>KTT(A6,PhasesData!$B$4,PhasesData!$E$4,PhasesData!$B$2,PhasesData!$C$2,PhasesData!$E$2,PhasesData!$F$2)</f>
        <v>9.3988523699578987</v>
      </c>
      <c r="G6" s="10">
        <f>nuLT(A6,PhasesData!$B$4,PhasesData!$E$4,PhasesData!$B$2,PhasesData!$C$2,PhasesData!$E$2,PhasesData!$F$2)</f>
        <v>0.3132994960533208</v>
      </c>
      <c r="H6" s="11">
        <f>nuTT(A6,PhasesData!$B$4,PhasesData!$E$4,PhasesData!$B$2,PhasesData!$C$2,PhasesData!$E$2,PhasesData!$F$2)</f>
        <v>0.60417775139747376</v>
      </c>
    </row>
    <row r="7" spans="1:8" x14ac:dyDescent="0.25">
      <c r="A7" s="5">
        <v>0.5</v>
      </c>
      <c r="B7" s="7">
        <f>EL(A7,PhasesData!$B$4,PhasesData!$E$4,PhasesData!$B$2,PhasesData!$C$2,PhasesData!$E$2,PhasesData!$F$2)</f>
        <v>251.7945348336624</v>
      </c>
      <c r="C7" s="7">
        <f>ET(A7,PhasesData!$B$4,PhasesData!$E$4,PhasesData!$B$2,PhasesData!$C$2,PhasesData!$E$2,PhasesData!$F$2)</f>
        <v>8.6053576553801072</v>
      </c>
      <c r="D7" s="7">
        <f>GLT(A7,PhasesData!$B$4,PhasesData!$E$4,PhasesData!$D$2)</f>
        <v>3.2236842105263159</v>
      </c>
      <c r="E7" s="7">
        <f>GTT(A7,PhasesData!$B$4,PhasesData!$E$4,PhasesData!$B$2,PhasesData!$C$2,PhasesData!$E$2,PhasesData!$F$2)</f>
        <v>2.7065117349286703</v>
      </c>
      <c r="F7" s="7">
        <f>KTT(A7,PhasesData!$B$4,PhasesData!$E$4,PhasesData!$B$2,PhasesData!$C$2,PhasesData!$E$2,PhasesData!$F$2)</f>
        <v>10.647650539945881</v>
      </c>
      <c r="G7" s="7">
        <f>nuLT(A7,PhasesData!$B$4,PhasesData!$E$4,PhasesData!$B$2,PhasesData!$C$2,PhasesData!$E$2,PhasesData!$F$2)</f>
        <v>0.29311639921024901</v>
      </c>
      <c r="H7" s="7">
        <f>nuTT(A7,PhasesData!$B$4,PhasesData!$E$4,PhasesData!$B$2,PhasesData!$C$2,PhasesData!$E$2,PhasesData!$F$2)</f>
        <v>0.5897506639864798</v>
      </c>
    </row>
    <row r="8" spans="1:8" x14ac:dyDescent="0.25">
      <c r="A8" s="5">
        <v>0.55000000000000004</v>
      </c>
      <c r="B8" s="7">
        <f>EL(A8,PhasesData!$B$4,PhasesData!$E$4,PhasesData!$B$2,PhasesData!$C$2,PhasesData!$E$2,PhasesData!$F$2)</f>
        <v>276.61878806576169</v>
      </c>
      <c r="C8" s="7">
        <f>ET(A8,PhasesData!$B$4,PhasesData!$E$4,PhasesData!$B$2,PhasesData!$C$2,PhasesData!$E$2,PhasesData!$F$2)</f>
        <v>9.3932951198789301</v>
      </c>
      <c r="D8" s="7">
        <f>GLT(A8,PhasesData!$B$4,PhasesData!$E$4,PhasesData!$D$2)</f>
        <v>3.6071428571428572</v>
      </c>
      <c r="E8" s="7">
        <f>GTT(A8,PhasesData!$B$4,PhasesData!$E$4,PhasesData!$B$2,PhasesData!$C$2,PhasesData!$E$2,PhasesData!$F$2)</f>
        <v>2.9690045919123098</v>
      </c>
      <c r="F8" s="7">
        <f>KTT(A8,PhasesData!$B$4,PhasesData!$E$4,PhasesData!$B$2,PhasesData!$C$2,PhasesData!$E$2,PhasesData!$F$2)</f>
        <v>11.38872657666734</v>
      </c>
      <c r="G8" s="7">
        <f>nuLT(A8,PhasesData!$B$4,PhasesData!$E$4,PhasesData!$B$2,PhasesData!$C$2,PhasesData!$E$2,PhasesData!$F$2)</f>
        <v>0.28323182463543123</v>
      </c>
      <c r="H8" s="7">
        <f>nuTT(A8,PhasesData!$B$4,PhasesData!$E$4,PhasesData!$B$2,PhasesData!$C$2,PhasesData!$E$2,PhasesData!$F$2)</f>
        <v>0.5818929929355201</v>
      </c>
    </row>
    <row r="9" spans="1:8" x14ac:dyDescent="0.25">
      <c r="A9" s="8">
        <v>0.6</v>
      </c>
      <c r="B9" s="10">
        <f>EL(A9,PhasesData!$B$4,PhasesData!$E$4,PhasesData!$B$2,PhasesData!$C$2,PhasesData!$E$2,PhasesData!$F$2)</f>
        <v>301.44217283834917</v>
      </c>
      <c r="C9" s="11">
        <f>ET(A9,PhasesData!$B$4,PhasesData!$E$4,PhasesData!$B$2,PhasesData!$C$2,PhasesData!$E$2,PhasesData!$F$2)</f>
        <v>10.299522361179285</v>
      </c>
      <c r="D9" s="10">
        <f>GLT(A9,PhasesData!$B$4,PhasesData!$E$4,PhasesData!$D$2)</f>
        <v>4.0625</v>
      </c>
      <c r="E9" s="9">
        <f>GTT(A9,PhasesData!$B$4,PhasesData!$E$4,PhasesData!$B$2,PhasesData!$C$2,PhasesData!$E$2,PhasesData!$F$2)</f>
        <v>3.2727950575202387</v>
      </c>
      <c r="F9" s="9">
        <f>KTT(A9,PhasesData!$B$4,PhasesData!$E$4,PhasesData!$B$2,PhasesData!$C$2,PhasesData!$E$2,PhasesData!$F$2)</f>
        <v>12.228254641301856</v>
      </c>
      <c r="G9" s="10">
        <f>nuLT(A9,PhasesData!$B$4,PhasesData!$E$4,PhasesData!$B$2,PhasesData!$C$2,PhasesData!$E$2,PhasesData!$F$2)</f>
        <v>0.27348148495249702</v>
      </c>
      <c r="H9" s="11">
        <f>nuTT(A9,PhasesData!$B$4,PhasesData!$E$4,PhasesData!$B$2,PhasesData!$C$2,PhasesData!$E$2,PhasesData!$F$2)</f>
        <v>0.57350554803500575</v>
      </c>
    </row>
    <row r="10" spans="1:8" x14ac:dyDescent="0.25">
      <c r="A10" s="5">
        <v>0.65</v>
      </c>
      <c r="B10" s="7">
        <f>EL(A10,PhasesData!$B$4,PhasesData!$E$4,PhasesData!$B$2,PhasesData!$C$2,PhasesData!$E$2,PhasesData!$F$2)</f>
        <v>326.26470672294454</v>
      </c>
      <c r="C10" s="7">
        <f>ET(A10,PhasesData!$B$4,PhasesData!$E$4,PhasesData!$B$2,PhasesData!$C$2,PhasesData!$E$2,PhasesData!$F$2)</f>
        <v>11.353198858234908</v>
      </c>
      <c r="D10" s="7">
        <f>GLT(A10,PhasesData!$B$4,PhasesData!$E$4,PhasesData!$D$2)</f>
        <v>4.612068965517242</v>
      </c>
      <c r="E10" s="7">
        <f>GTT(A10,PhasesData!$B$4,PhasesData!$E$4,PhasesData!$B$2,PhasesData!$C$2,PhasesData!$E$2,PhasesData!$F$2)</f>
        <v>3.6284611827273254</v>
      </c>
      <c r="F10" s="7">
        <f>KTT(A10,PhasesData!$B$4,PhasesData!$E$4,PhasesData!$B$2,PhasesData!$C$2,PhasesData!$E$2,PhasesData!$F$2)</f>
        <v>13.187249696951101</v>
      </c>
      <c r="G10" s="7">
        <f>nuLT(A10,PhasesData!$B$4,PhasesData!$E$4,PhasesData!$B$2,PhasesData!$C$2,PhasesData!$E$2,PhasesData!$F$2)</f>
        <v>0.26386266419020832</v>
      </c>
      <c r="H10" s="7">
        <f>nuTT(A10,PhasesData!$B$4,PhasesData!$E$4,PhasesData!$B$2,PhasesData!$C$2,PhasesData!$E$2,PhasesData!$F$2)</f>
        <v>0.56446469818664302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PhasesData</vt:lpstr>
      <vt:lpstr>CF-EP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Di Stasio</dc:creator>
  <cp:lastModifiedBy>Luca Di Stasio</cp:lastModifiedBy>
  <dcterms:created xsi:type="dcterms:W3CDTF">2018-04-18T16:45:48Z</dcterms:created>
  <dcterms:modified xsi:type="dcterms:W3CDTF">2018-04-19T17:34:03Z</dcterms:modified>
</cp:coreProperties>
</file>