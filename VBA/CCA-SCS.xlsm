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226" codeName="{EC734049-C954-9101-EBF6-4418645C62D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02_Local-folder\01_Luca\01_WD\thinPlyMechanics\VBA\"/>
    </mc:Choice>
  </mc:AlternateContent>
  <xr:revisionPtr revIDLastSave="0" documentId="13_ncr:1_{B260D25E-118D-4FB6-A519-8264072E2B53}" xr6:coauthVersionLast="32" xr6:coauthVersionMax="32" xr10:uidLastSave="{00000000-0000-0000-0000-000000000000}"/>
  <bookViews>
    <workbookView minimized="1" xWindow="0" yWindow="0" windowWidth="14655" windowHeight="4170" activeTab="2" xr2:uid="{7EA44CFA-61CB-4590-B692-EBB6A39992B8}"/>
  </bookViews>
  <sheets>
    <sheet name="PhasesData" sheetId="1" r:id="rId1"/>
    <sheet name="CF-EP" sheetId="2" r:id="rId2"/>
    <sheet name="GF-EP" sheetId="3" r:id="rId3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F3" i="3"/>
  <c r="C4" i="3"/>
  <c r="G4" i="3"/>
  <c r="D5" i="3"/>
  <c r="H5" i="3"/>
  <c r="E6" i="3"/>
  <c r="B7" i="3"/>
  <c r="F7" i="3"/>
  <c r="C8" i="3"/>
  <c r="G8" i="3"/>
  <c r="D9" i="3"/>
  <c r="H9" i="3"/>
  <c r="E10" i="3"/>
  <c r="E3" i="3"/>
  <c r="G5" i="3"/>
  <c r="E7" i="3"/>
  <c r="C9" i="3"/>
  <c r="H10" i="3"/>
  <c r="C3" i="3"/>
  <c r="G3" i="3"/>
  <c r="D4" i="3"/>
  <c r="H4" i="3"/>
  <c r="E5" i="3"/>
  <c r="B6" i="3"/>
  <c r="F6" i="3"/>
  <c r="C7" i="3"/>
  <c r="G7" i="3"/>
  <c r="D8" i="3"/>
  <c r="H8" i="3"/>
  <c r="E9" i="3"/>
  <c r="B10" i="3"/>
  <c r="F10" i="3"/>
  <c r="F4" i="3"/>
  <c r="D6" i="3"/>
  <c r="B8" i="3"/>
  <c r="D10" i="3"/>
  <c r="D3" i="3"/>
  <c r="H3" i="3"/>
  <c r="E4" i="3"/>
  <c r="B5" i="3"/>
  <c r="F5" i="3"/>
  <c r="C6" i="3"/>
  <c r="G6" i="3"/>
  <c r="D7" i="3"/>
  <c r="H7" i="3"/>
  <c r="E8" i="3"/>
  <c r="B9" i="3"/>
  <c r="F9" i="3"/>
  <c r="C10" i="3"/>
  <c r="G10" i="3"/>
  <c r="B4" i="3"/>
  <c r="C5" i="3"/>
  <c r="H6" i="3"/>
  <c r="F8" i="3"/>
  <c r="G9" i="3"/>
  <c r="H2" i="3"/>
  <c r="G2" i="3"/>
  <c r="F2" i="3"/>
  <c r="E2" i="3"/>
  <c r="D2" i="3"/>
  <c r="C2" i="3"/>
  <c r="B2" i="3"/>
  <c r="H3" i="2"/>
  <c r="H7" i="2"/>
  <c r="H4" i="2"/>
  <c r="H8" i="2"/>
  <c r="H10" i="2"/>
  <c r="H5" i="2"/>
  <c r="H9" i="2"/>
  <c r="H6" i="2"/>
  <c r="H2" i="2"/>
  <c r="G3" i="2"/>
  <c r="G7" i="2"/>
  <c r="G4" i="2"/>
  <c r="G8" i="2"/>
  <c r="G10" i="2"/>
  <c r="G5" i="2"/>
  <c r="G9" i="2"/>
  <c r="G6" i="2"/>
  <c r="G2" i="2"/>
  <c r="F3" i="2"/>
  <c r="F7" i="2"/>
  <c r="F6" i="2"/>
  <c r="F4" i="2"/>
  <c r="F8" i="2"/>
  <c r="F5" i="2"/>
  <c r="F9" i="2"/>
  <c r="F10" i="2"/>
  <c r="F2" i="2"/>
  <c r="E3" i="2"/>
  <c r="E7" i="2"/>
  <c r="E10" i="2"/>
  <c r="E4" i="2"/>
  <c r="E8" i="2"/>
  <c r="E6" i="2"/>
  <c r="E5" i="2"/>
  <c r="E9" i="2"/>
  <c r="E2" i="2"/>
  <c r="D3" i="2"/>
  <c r="D7" i="2"/>
  <c r="D10" i="2"/>
  <c r="D4" i="2"/>
  <c r="D8" i="2"/>
  <c r="D5" i="2"/>
  <c r="D9" i="2"/>
  <c r="D6" i="2"/>
  <c r="D2" i="2"/>
  <c r="C3" i="2"/>
  <c r="C7" i="2"/>
  <c r="C6" i="2"/>
  <c r="C4" i="2"/>
  <c r="C8" i="2"/>
  <c r="C10" i="2"/>
  <c r="C5" i="2"/>
  <c r="C9" i="2"/>
  <c r="C2" i="2"/>
  <c r="B3" i="2"/>
  <c r="B4" i="2"/>
  <c r="B8" i="2"/>
  <c r="B5" i="2"/>
  <c r="B9" i="2"/>
  <c r="B6" i="2"/>
  <c r="B10" i="2"/>
  <c r="B7" i="2"/>
  <c r="B2" i="2"/>
  <c r="A3" i="3" l="1"/>
  <c r="A2" i="3"/>
  <c r="A3" i="2" l="1"/>
  <c r="A2" i="2"/>
</calcChain>
</file>

<file path=xl/sharedStrings.xml><?xml version="1.0" encoding="utf-8"?>
<sst xmlns="http://schemas.openxmlformats.org/spreadsheetml/2006/main" count="25" uniqueCount="12">
  <si>
    <t>Material</t>
  </si>
  <si>
    <r>
      <t>E</t>
    </r>
    <r>
      <rPr>
        <b/>
        <vertAlign val="subscript"/>
        <sz val="12"/>
        <color theme="1"/>
        <rFont val="Calibri"/>
        <family val="2"/>
        <scheme val="minor"/>
      </rPr>
      <t>1</t>
    </r>
    <r>
      <rPr>
        <b/>
        <sz val="12"/>
        <color theme="1"/>
        <rFont val="Calibri"/>
        <family val="2"/>
        <scheme val="minor"/>
      </rPr>
      <t xml:space="preserve"> [Gpa]</t>
    </r>
  </si>
  <si>
    <r>
      <t>E</t>
    </r>
    <r>
      <rPr>
        <b/>
        <vertAlign val="subscript"/>
        <sz val="12"/>
        <color theme="1"/>
        <rFont val="Calibri"/>
        <family val="2"/>
        <scheme val="minor"/>
      </rPr>
      <t>2</t>
    </r>
    <r>
      <rPr>
        <b/>
        <sz val="12"/>
        <color theme="1"/>
        <rFont val="Calibri"/>
        <family val="2"/>
        <scheme val="minor"/>
      </rPr>
      <t xml:space="preserve"> [Gpa]</t>
    </r>
  </si>
  <si>
    <r>
      <t>G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[Gpa]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</si>
  <si>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12</t>
    </r>
    <r>
      <rPr>
        <b/>
        <sz val="12"/>
        <color theme="1"/>
        <rFont val="Calibri"/>
        <family val="2"/>
        <scheme val="minor"/>
      </rPr>
      <t xml:space="preserve"> [-]</t>
    </r>
  </si>
  <si>
    <r>
      <rPr>
        <b/>
        <sz val="12"/>
        <color theme="1"/>
        <rFont val="Calibri"/>
        <family val="2"/>
      </rPr>
      <t>ν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[-]</t>
    </r>
  </si>
  <si>
    <t>CF</t>
  </si>
  <si>
    <t>GF</t>
  </si>
  <si>
    <t>EP</t>
  </si>
  <si>
    <r>
      <t>G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</si>
  <si>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r>
      <t>K</t>
    </r>
    <r>
      <rPr>
        <b/>
        <vertAlign val="subscript"/>
        <sz val="12"/>
        <color theme="1"/>
        <rFont val="Calibri"/>
        <family val="2"/>
        <scheme val="minor"/>
      </rPr>
      <t>23</t>
    </r>
    <r>
      <rPr>
        <b/>
        <sz val="12"/>
        <color theme="1"/>
        <rFont val="Calibri"/>
        <family val="2"/>
        <scheme val="minor"/>
      </rPr>
      <t xml:space="preserve"> [Gpa]</t>
    </r>
  </si>
  <si>
    <t>VFf [%]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</si>
</sst>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0%"/>
    <numFmt numFmtId="165" formatCode="0.0%"/>
    <numFmt numFmtId="167" formatCode="0.000"/>
  </numFmts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vertAlign val="subscript"/>
      <sz val="12"/>
      <color theme="1"/>
      <name val="Calibri"/>
      <family val="2"/>
      <scheme val="minor"/>
    </font>
    <font>
      <b/>
      <sz val="12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5" fontId="0" fillId="0" borderId="2" xfId="0" applyNumberFormat="1" applyBorder="1" applyAlignment="1">
      <alignment horizontal="center" vertical="center"/>
    </xf>
    <xf numFmtId="9" fontId="0" fillId="0" borderId="2" xfId="0" applyNumberForma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A0F64-F04F-43EF-9CFA-EA2577E5F82B}">
  <sheetPr codeName="Sheet1"/>
  <dimension ref="A1:F4"/>
  <sheetViews>
    <sheetView workbookViewId="0">
      <selection activeCell="F14" sqref="F14"/>
    </sheetView>
  </sheetViews>
  <sheetFormatPr defaultRowHeight="15" x14ac:dyDescent="0.25"/>
  <cols>
    <col min="1" max="1" width="9.5703125" customWidth="1"/>
    <col min="2" max="2" width="10.140625" customWidth="1"/>
    <col min="3" max="3" width="10.42578125" customWidth="1"/>
    <col min="4" max="4" width="11.140625" customWidth="1"/>
    <col min="5" max="5" width="9.5703125" customWidth="1"/>
    <col min="6" max="6" width="10.28515625" customWidth="1"/>
  </cols>
  <sheetData>
    <row r="1" spans="1:6" ht="19.5" thickBot="1" x14ac:dyDescent="0.3">
      <c r="A1" s="4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5" t="s">
        <v>6</v>
      </c>
      <c r="B2" s="2">
        <v>500</v>
      </c>
      <c r="C2" s="2">
        <v>30</v>
      </c>
      <c r="D2" s="2">
        <v>20</v>
      </c>
      <c r="E2" s="2">
        <v>0.2</v>
      </c>
      <c r="F2" s="2">
        <v>0.45</v>
      </c>
    </row>
    <row r="3" spans="1:6" x14ac:dyDescent="0.25">
      <c r="A3" s="5" t="s">
        <v>7</v>
      </c>
      <c r="B3" s="2">
        <v>70</v>
      </c>
      <c r="C3" s="2">
        <v>70</v>
      </c>
      <c r="D3" s="2">
        <v>29.2</v>
      </c>
      <c r="E3" s="2">
        <v>0.2</v>
      </c>
      <c r="F3" s="2">
        <v>0.2</v>
      </c>
    </row>
    <row r="4" spans="1:6" x14ac:dyDescent="0.25">
      <c r="A4" s="5" t="s">
        <v>8</v>
      </c>
      <c r="B4" s="2">
        <v>3.5</v>
      </c>
      <c r="C4" s="2">
        <v>3.5</v>
      </c>
      <c r="D4" s="2">
        <v>1.25</v>
      </c>
      <c r="E4" s="2">
        <v>0.4</v>
      </c>
      <c r="F4" s="2">
        <v>0.4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F831B-DAB2-4316-9016-D54EACF6792D}">
  <sheetPr codeName="Sheet2"/>
  <dimension ref="A1:H10"/>
  <sheetViews>
    <sheetView workbookViewId="0">
      <selection activeCell="B2" sqref="B2:H2"/>
    </sheetView>
  </sheetViews>
  <sheetFormatPr defaultRowHeight="15" x14ac:dyDescent="0.25"/>
  <cols>
    <col min="1" max="1" width="10.42578125" customWidth="1"/>
    <col min="4" max="4" width="11" customWidth="1"/>
    <col min="5" max="5" width="20" customWidth="1"/>
    <col min="6" max="6" width="11" customWidth="1"/>
  </cols>
  <sheetData>
    <row r="1" spans="1:8" ht="24" customHeight="1" thickBot="1" x14ac:dyDescent="0.3">
      <c r="A1" s="4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EL(A2,PhasesData!$B$4,PhasesData!$E$4,PhasesData!$B$2,PhasesData!$C$2,PhasesData!$E$2,PhasesData!$F$2)</f>
        <v>3.5390100427713431</v>
      </c>
      <c r="C2" s="3">
        <f>ET(A2,PhasesData!$B$4,PhasesData!$E$4,PhasesData!$B$2,PhasesData!$C$2,PhasesData!$E$2,PhasesData!$F$2)</f>
        <v>3.5065360095551465</v>
      </c>
      <c r="D2" s="3">
        <f>GLT(A2,PhasesData!$B$4,PhasesData!$E$4,PhasesData!$D$2)</f>
        <v>1.2501732616018679</v>
      </c>
      <c r="E2" s="3">
        <f>GTT(A2,PhasesData!$B$4,PhasesData!$E$4,PhasesData!$B$2,PhasesData!$C$2,PhasesData!$E$2,PhasesData!$F$2)</f>
        <v>1.2501362160667215</v>
      </c>
      <c r="F2" s="3">
        <f>KTT(A2,PhasesData!$B$4,PhasesData!$E$4,PhasesData!$B$2,PhasesData!$C$2,PhasesData!$E$2,PhasesData!$F$2)</f>
        <v>6.2504354776422835</v>
      </c>
      <c r="G2" s="3">
        <f>nuLT(A2,PhasesData!$B$4,PhasesData!$E$4,PhasesData!$B$2,PhasesData!$C$2,PhasesData!$E$2,PhasesData!$F$2)</f>
        <v>0.39998196983352186</v>
      </c>
      <c r="H2" s="3">
        <f>nuTT(A2,PhasesData!$B$4,PhasesData!$E$4,PhasesData!$B$2,PhasesData!$C$2,PhasesData!$E$2,PhasesData!$F$2)</f>
        <v>0.40246157358263335</v>
      </c>
    </row>
    <row r="3" spans="1:8" x14ac:dyDescent="0.25">
      <c r="A3" s="7">
        <f>0.25*PI()/(28*28)</f>
        <v>1.0017833716804187E-3</v>
      </c>
      <c r="B3" s="3">
        <f>EL(A3,PhasesData!$B$4,PhasesData!$E$4,PhasesData!$B$2,PhasesData!$C$2,PhasesData!$E$2,PhasesData!$F$2)</f>
        <v>3.9975768730981223</v>
      </c>
      <c r="C3" s="3">
        <f>ET(A3,PhasesData!$B$4,PhasesData!$E$4,PhasesData!$B$2,PhasesData!$C$2,PhasesData!$E$2,PhasesData!$F$2)</f>
        <v>3.5757080976369431</v>
      </c>
      <c r="D3" s="3">
        <f>GLT(A3,PhasesData!$B$4,PhasesData!$E$4,PhasesData!$D$2)</f>
        <v>1.2522117713043375</v>
      </c>
      <c r="E3" s="3">
        <f>GTT(A3,PhasesData!$B$4,PhasesData!$E$4,PhasesData!$B$2,PhasesData!$C$2,PhasesData!$E$2,PhasesData!$F$2)</f>
        <v>1.2517387508342614</v>
      </c>
      <c r="F3" s="3">
        <f>KTT(A3,PhasesData!$B$4,PhasesData!$E$4,PhasesData!$B$2,PhasesData!$C$2,PhasesData!$E$2,PhasesData!$F$2)</f>
        <v>6.2555583555891134</v>
      </c>
      <c r="G3" s="3">
        <f>nuLT(A3,PhasesData!$B$4,PhasesData!$E$4,PhasesData!$B$2,PhasesData!$C$2,PhasesData!$E$2,PhasesData!$F$2)</f>
        <v>0.3997700547741429</v>
      </c>
      <c r="H3" s="3">
        <f>nuTT(A3,PhasesData!$B$4,PhasesData!$E$4,PhasesData!$B$2,PhasesData!$C$2,PhasesData!$E$2,PhasesData!$F$2)</f>
        <v>0.42829647770103696</v>
      </c>
    </row>
    <row r="4" spans="1:8" x14ac:dyDescent="0.25">
      <c r="A4" s="8">
        <v>0.2</v>
      </c>
      <c r="B4" s="3">
        <f>EL(A4,PhasesData!$B$4,PhasesData!$E$4,PhasesData!$B$2,PhasesData!$C$2,PhasesData!$E$2,PhasesData!$F$2)</f>
        <v>102.82973019844907</v>
      </c>
      <c r="C4" s="3">
        <f>ET(A4,PhasesData!$B$4,PhasesData!$E$4,PhasesData!$B$2,PhasesData!$C$2,PhasesData!$E$2,PhasesData!$F$2)</f>
        <v>5.4529881265623779</v>
      </c>
      <c r="D4" s="3">
        <f>GLT(A4,PhasesData!$B$4,PhasesData!$E$4,PhasesData!$D$2)</f>
        <v>1.7857142857142856</v>
      </c>
      <c r="E4" s="3">
        <f>GTT(A4,PhasesData!$B$4,PhasesData!$E$4,PhasesData!$B$2,PhasesData!$C$2,PhasesData!$E$2,PhasesData!$F$2)</f>
        <v>1.6772864311526807</v>
      </c>
      <c r="F4" s="3">
        <f>KTT(A4,PhasesData!$B$4,PhasesData!$E$4,PhasesData!$B$2,PhasesData!$C$2,PhasesData!$E$2,PhasesData!$F$2)</f>
        <v>7.5512609443987149</v>
      </c>
      <c r="G4" s="3">
        <f>nuLT(A4,PhasesData!$B$4,PhasesData!$E$4,PhasesData!$B$2,PhasesData!$C$2,PhasesData!$E$2,PhasesData!$F$2)</f>
        <v>0.3554047023263881</v>
      </c>
      <c r="H4" s="3">
        <f>nuTT(A4,PhasesData!$B$4,PhasesData!$E$4,PhasesData!$B$2,PhasesData!$C$2,PhasesData!$E$2,PhasesData!$F$2)</f>
        <v>0.62553873485249722</v>
      </c>
    </row>
    <row r="5" spans="1:8" x14ac:dyDescent="0.25">
      <c r="A5" s="8">
        <v>0.3</v>
      </c>
      <c r="B5" s="3">
        <f>EL(A5,PhasesData!$B$4,PhasesData!$E$4,PhasesData!$B$2,PhasesData!$C$2,PhasesData!$E$2,PhasesData!$F$2)</f>
        <v>152.48846846654311</v>
      </c>
      <c r="C5" s="3">
        <f>ET(A5,PhasesData!$B$4,PhasesData!$E$4,PhasesData!$B$2,PhasesData!$C$2,PhasesData!$E$2,PhasesData!$F$2)</f>
        <v>6.3831518918996135</v>
      </c>
      <c r="D5" s="3">
        <f>GLT(A5,PhasesData!$B$4,PhasesData!$E$4,PhasesData!$D$2)</f>
        <v>2.15</v>
      </c>
      <c r="E5" s="3">
        <f>GTT(A5,PhasesData!$B$4,PhasesData!$E$4,PhasesData!$B$2,PhasesData!$C$2,PhasesData!$E$2,PhasesData!$F$2)</f>
        <v>1.9821817072861816</v>
      </c>
      <c r="F5" s="3">
        <f>KTT(A5,PhasesData!$B$4,PhasesData!$E$4,PhasesData!$B$2,PhasesData!$C$2,PhasesData!$E$2,PhasesData!$F$2)</f>
        <v>8.3873041073440557</v>
      </c>
      <c r="G5" s="3">
        <f>nuLT(A5,PhasesData!$B$4,PhasesData!$E$4,PhasesData!$B$2,PhasesData!$C$2,PhasesData!$E$2,PhasesData!$F$2)</f>
        <v>0.33405405735465177</v>
      </c>
      <c r="H5" s="3">
        <f>nuTT(A5,PhasesData!$B$4,PhasesData!$E$4,PhasesData!$B$2,PhasesData!$C$2,PhasesData!$E$2,PhasesData!$F$2)</f>
        <v>0.61013288247898068</v>
      </c>
    </row>
    <row r="6" spans="1:8" x14ac:dyDescent="0.25">
      <c r="A6" s="8">
        <v>0.4</v>
      </c>
      <c r="B6" s="3">
        <f>EL(A6,PhasesData!$B$4,PhasesData!$E$4,PhasesData!$B$2,PhasesData!$C$2,PhasesData!$E$2,PhasesData!$F$2)</f>
        <v>202.14335025197335</v>
      </c>
      <c r="C6" s="3">
        <f>ET(A6,PhasesData!$B$4,PhasesData!$E$4,PhasesData!$B$2,PhasesData!$C$2,PhasesData!$E$2,PhasesData!$F$2)</f>
        <v>7.5699527527042649</v>
      </c>
      <c r="D6" s="3">
        <f>GLT(A6,PhasesData!$B$4,PhasesData!$E$4,PhasesData!$D$2)</f>
        <v>2.6136363636363638</v>
      </c>
      <c r="E6" s="3">
        <f>GTT(A6,PhasesData!$B$4,PhasesData!$E$4,PhasesData!$B$2,PhasesData!$C$2,PhasesData!$E$2,PhasesData!$F$2)</f>
        <v>2.3805748977708676</v>
      </c>
      <c r="F6" s="3">
        <f>KTT(A6,PhasesData!$B$4,PhasesData!$E$4,PhasesData!$B$2,PhasesData!$C$2,PhasesData!$E$2,PhasesData!$F$2)</f>
        <v>9.3988523699578987</v>
      </c>
      <c r="G6" s="3">
        <f>nuLT(A6,PhasesData!$B$4,PhasesData!$E$4,PhasesData!$B$2,PhasesData!$C$2,PhasesData!$E$2,PhasesData!$F$2)</f>
        <v>0.3132994960533208</v>
      </c>
      <c r="H6" s="3">
        <f>nuTT(A6,PhasesData!$B$4,PhasesData!$E$4,PhasesData!$B$2,PhasesData!$C$2,PhasesData!$E$2,PhasesData!$F$2)</f>
        <v>0.58994215216514467</v>
      </c>
    </row>
    <row r="7" spans="1:8" x14ac:dyDescent="0.25">
      <c r="A7" s="8">
        <v>0.5</v>
      </c>
      <c r="B7" s="3">
        <f>EL(A7,PhasesData!$B$4,PhasesData!$E$4,PhasesData!$B$2,PhasesData!$C$2,PhasesData!$E$2,PhasesData!$F$2)</f>
        <v>251.7945348336624</v>
      </c>
      <c r="C7" s="3">
        <f>ET(A7,PhasesData!$B$4,PhasesData!$E$4,PhasesData!$B$2,PhasesData!$C$2,PhasesData!$E$2,PhasesData!$F$2)</f>
        <v>9.0931924051310489</v>
      </c>
      <c r="D7" s="3">
        <f>GLT(A7,PhasesData!$B$4,PhasesData!$E$4,PhasesData!$D$2)</f>
        <v>3.2236842105263159</v>
      </c>
      <c r="E7" s="3">
        <f>GTT(A7,PhasesData!$B$4,PhasesData!$E$4,PhasesData!$B$2,PhasesData!$C$2,PhasesData!$E$2,PhasesData!$F$2)</f>
        <v>2.9018545943126512</v>
      </c>
      <c r="F7" s="3">
        <f>KTT(A7,PhasesData!$B$4,PhasesData!$E$4,PhasesData!$B$2,PhasesData!$C$2,PhasesData!$E$2,PhasesData!$F$2)</f>
        <v>10.647650539945881</v>
      </c>
      <c r="G7" s="3">
        <f>nuLT(A7,PhasesData!$B$4,PhasesData!$E$4,PhasesData!$B$2,PhasesData!$C$2,PhasesData!$E$2,PhasesData!$F$2)</f>
        <v>0.29311639921024901</v>
      </c>
      <c r="H7" s="3">
        <f>nuTT(A7,PhasesData!$B$4,PhasesData!$E$4,PhasesData!$B$2,PhasesData!$C$2,PhasesData!$E$2,PhasesData!$F$2)</f>
        <v>0.56678980796501821</v>
      </c>
    </row>
    <row r="8" spans="1:8" x14ac:dyDescent="0.25">
      <c r="A8" s="8">
        <v>0.55000000000000004</v>
      </c>
      <c r="B8" s="3">
        <f>EL(A8,PhasesData!$B$4,PhasesData!$E$4,PhasesData!$B$2,PhasesData!$C$2,PhasesData!$E$2,PhasesData!$F$2)</f>
        <v>276.61878806576169</v>
      </c>
      <c r="C8" s="3">
        <f>ET(A8,PhasesData!$B$4,PhasesData!$E$4,PhasesData!$B$2,PhasesData!$C$2,PhasesData!$E$2,PhasesData!$F$2)</f>
        <v>10.009582677677608</v>
      </c>
      <c r="D8" s="3">
        <f>GLT(A8,PhasesData!$B$4,PhasesData!$E$4,PhasesData!$D$2)</f>
        <v>3.6071428571428572</v>
      </c>
      <c r="E8" s="3">
        <f>GTT(A8,PhasesData!$B$4,PhasesData!$E$4,PhasesData!$B$2,PhasesData!$C$2,PhasesData!$E$2,PhasesData!$F$2)</f>
        <v>3.2190472977578515</v>
      </c>
      <c r="F8" s="3">
        <f>KTT(A8,PhasesData!$B$4,PhasesData!$E$4,PhasesData!$B$2,PhasesData!$C$2,PhasesData!$E$2,PhasesData!$F$2)</f>
        <v>11.38872657666734</v>
      </c>
      <c r="G8" s="3">
        <f>nuLT(A8,PhasesData!$B$4,PhasesData!$E$4,PhasesData!$B$2,PhasesData!$C$2,PhasesData!$E$2,PhasesData!$F$2)</f>
        <v>0.28323182463543123</v>
      </c>
      <c r="H8" s="3">
        <f>nuTT(A8,PhasesData!$B$4,PhasesData!$E$4,PhasesData!$B$2,PhasesData!$C$2,PhasesData!$E$2,PhasesData!$F$2)</f>
        <v>0.55474302671003595</v>
      </c>
    </row>
    <row r="9" spans="1:8" x14ac:dyDescent="0.25">
      <c r="A9" s="8">
        <v>0.6</v>
      </c>
      <c r="B9" s="3">
        <f>EL(A9,PhasesData!$B$4,PhasesData!$E$4,PhasesData!$B$2,PhasesData!$C$2,PhasesData!$E$2,PhasesData!$F$2)</f>
        <v>301.44217283834917</v>
      </c>
      <c r="C9" s="3">
        <f>ET(A9,PhasesData!$B$4,PhasesData!$E$4,PhasesData!$B$2,PhasesData!$C$2,PhasesData!$E$2,PhasesData!$F$2)</f>
        <v>11.04813432040255</v>
      </c>
      <c r="D9" s="3">
        <f>GLT(A9,PhasesData!$B$4,PhasesData!$E$4,PhasesData!$D$2)</f>
        <v>4.0625</v>
      </c>
      <c r="E9" s="3">
        <f>GTT(A9,PhasesData!$B$4,PhasesData!$E$4,PhasesData!$B$2,PhasesData!$C$2,PhasesData!$E$2,PhasesData!$F$2)</f>
        <v>3.580612814238068</v>
      </c>
      <c r="F9" s="3">
        <f>KTT(A9,PhasesData!$B$4,PhasesData!$E$4,PhasesData!$B$2,PhasesData!$C$2,PhasesData!$E$2,PhasesData!$F$2)</f>
        <v>12.228254641301856</v>
      </c>
      <c r="G9" s="3">
        <f>nuLT(A9,PhasesData!$B$4,PhasesData!$E$4,PhasesData!$B$2,PhasesData!$C$2,PhasesData!$E$2,PhasesData!$F$2)</f>
        <v>0.27348148495249702</v>
      </c>
      <c r="H9" s="3">
        <f>nuTT(A9,PhasesData!$B$4,PhasesData!$E$4,PhasesData!$B$2,PhasesData!$C$2,PhasesData!$E$2,PhasesData!$F$2)</f>
        <v>0.54277143237470149</v>
      </c>
    </row>
    <row r="10" spans="1:8" x14ac:dyDescent="0.25">
      <c r="A10" s="8">
        <v>0.65</v>
      </c>
      <c r="B10" s="3">
        <f>EL(A10,PhasesData!$B$4,PhasesData!$E$4,PhasesData!$B$2,PhasesData!$C$2,PhasesData!$E$2,PhasesData!$F$2)</f>
        <v>326.26470672294454</v>
      </c>
      <c r="C10" s="3">
        <f>ET(A10,PhasesData!$B$4,PhasesData!$E$4,PhasesData!$B$2,PhasesData!$C$2,PhasesData!$E$2,PhasesData!$F$2)</f>
        <v>12.227676246306691</v>
      </c>
      <c r="D10" s="3">
        <f>GLT(A10,PhasesData!$B$4,PhasesData!$E$4,PhasesData!$D$2)</f>
        <v>4.612068965517242</v>
      </c>
      <c r="E10" s="3">
        <f>GTT(A10,PhasesData!$B$4,PhasesData!$E$4,PhasesData!$B$2,PhasesData!$C$2,PhasesData!$E$2,PhasesData!$F$2)</f>
        <v>3.992934987874456</v>
      </c>
      <c r="F10" s="3">
        <f>KTT(A10,PhasesData!$B$4,PhasesData!$E$4,PhasesData!$B$2,PhasesData!$C$2,PhasesData!$E$2,PhasesData!$F$2)</f>
        <v>13.187249696951101</v>
      </c>
      <c r="G10" s="3">
        <f>nuLT(A10,PhasesData!$B$4,PhasesData!$E$4,PhasesData!$B$2,PhasesData!$C$2,PhasesData!$E$2,PhasesData!$F$2)</f>
        <v>0.26386266419020832</v>
      </c>
      <c r="H10" s="3">
        <f>nuTT(A10,PhasesData!$B$4,PhasesData!$E$4,PhasesData!$B$2,PhasesData!$C$2,PhasesData!$E$2,PhasesData!$F$2)</f>
        <v>0.53116395376321957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956CB-E6EF-4B68-9CAE-F8B575679B96}">
  <sheetPr codeName="Sheet3"/>
  <dimension ref="A1:H10"/>
  <sheetViews>
    <sheetView tabSelected="1" workbookViewId="0">
      <selection activeCell="E14" sqref="E14"/>
    </sheetView>
  </sheetViews>
  <sheetFormatPr defaultRowHeight="15" x14ac:dyDescent="0.25"/>
  <cols>
    <col min="1" max="1" width="10.42578125" customWidth="1"/>
    <col min="4" max="4" width="11" customWidth="1"/>
    <col min="5" max="5" width="14" customWidth="1"/>
    <col min="6" max="6" width="11" customWidth="1"/>
  </cols>
  <sheetData>
    <row r="1" spans="1:8" ht="24" customHeight="1" thickBot="1" x14ac:dyDescent="0.3">
      <c r="A1" s="4" t="s">
        <v>11</v>
      </c>
      <c r="B1" s="1" t="s">
        <v>1</v>
      </c>
      <c r="C1" s="1" t="s">
        <v>2</v>
      </c>
      <c r="D1" s="1" t="s">
        <v>3</v>
      </c>
      <c r="E1" s="1" t="s">
        <v>9</v>
      </c>
      <c r="F1" s="1" t="s">
        <v>10</v>
      </c>
      <c r="G1" s="1" t="s">
        <v>4</v>
      </c>
      <c r="H1" s="1" t="s">
        <v>5</v>
      </c>
    </row>
    <row r="2" spans="1:8" x14ac:dyDescent="0.25">
      <c r="A2" s="6">
        <f>0.25*PI()/(100*100)</f>
        <v>7.8539816339744827E-5</v>
      </c>
      <c r="B2" s="3">
        <f>EL(A2,PhasesData!$B$4,PhasesData!$E$4,PhasesData!$B$3,PhasesData!$C$3,PhasesData!$E$2,PhasesData!$F$3)</f>
        <v>3.5052382105497859</v>
      </c>
      <c r="C2" s="3">
        <f>ET(A2,PhasesData!$B$4,PhasesData!$E$4,PhasesData!$B$3,PhasesData!$C$3,PhasesData!$E$2,PhasesData!$F$3)</f>
        <v>3.5012342435218726</v>
      </c>
      <c r="D2" s="3">
        <f>GLT(A2,PhasesData!$B$4,PhasesData!$E$4,PhasesData!$D$3)</f>
        <v>1.250180241882809</v>
      </c>
      <c r="E2" s="3">
        <f>GTT(A2,PhasesData!$B$4,PhasesData!$E$4,PhasesData!$B$3,PhasesData!$C$3,PhasesData!$E$3,PhasesData!$F$3)</f>
        <v>1.2501563134136551</v>
      </c>
      <c r="F2" s="3">
        <f>KTT(A2,PhasesData!$B$4,PhasesData!$E$4,PhasesData!$B$3,PhasesData!$C$3,PhasesData!$E$3,PhasesData!$F$3)</f>
        <v>6.2505004786035219</v>
      </c>
      <c r="G2" s="3">
        <f>nuLT(A2,PhasesData!$B$4,PhasesData!$E$4,PhasesData!$B$3,PhasesData!$C$3,PhasesData!$E$3,PhasesData!$F$3)</f>
        <v>0.39998162324086134</v>
      </c>
      <c r="H2" s="3">
        <f>nuTT(A2,PhasesData!$B$4,PhasesData!$E$4,PhasesData!$B$3,PhasesData!$C$3,PhasesData!$E$3,PhasesData!$F$3)</f>
        <v>0.40031858654597485</v>
      </c>
    </row>
    <row r="3" spans="1:8" x14ac:dyDescent="0.25">
      <c r="A3" s="7">
        <f>0.25*PI()/(28*28)</f>
        <v>1.0017833716804187E-3</v>
      </c>
      <c r="B3" s="3">
        <f>EL(A3,PhasesData!$B$4,PhasesData!$E$4,PhasesData!$B$3,PhasesData!$C$3,PhasesData!$E$2,PhasesData!$F$3)</f>
        <v>3.5668136991290007</v>
      </c>
      <c r="C3" s="3">
        <f>ET(A3,PhasesData!$B$4,PhasesData!$E$4,PhasesData!$B$3,PhasesData!$C$3,PhasesData!$E$2,PhasesData!$F$3)</f>
        <v>3.5156082885888544</v>
      </c>
      <c r="D3" s="3">
        <f>GLT(A3,PhasesData!$B$4,PhasesData!$E$4,PhasesData!$D$3)</f>
        <v>1.2523009536762892</v>
      </c>
      <c r="E3" s="3">
        <f>GTT(A3,PhasesData!$B$4,PhasesData!$E$4,PhasesData!$B$3,PhasesData!$C$3,PhasesData!$E$3,PhasesData!$F$3)</f>
        <v>1.2519955072929756</v>
      </c>
      <c r="F3" s="3">
        <f>KTT(A3,PhasesData!$B$4,PhasesData!$E$4,PhasesData!$B$3,PhasesData!$C$3,PhasesData!$E$3,PhasesData!$F$3)</f>
        <v>6.2563886670784266</v>
      </c>
      <c r="G3" s="3">
        <f>nuLT(A3,PhasesData!$B$4,PhasesData!$E$4,PhasesData!$B$3,PhasesData!$C$3,PhasesData!$E$3,PhasesData!$F$3)</f>
        <v>0.39976563932667131</v>
      </c>
      <c r="H3" s="3">
        <f>nuTT(A3,PhasesData!$B$4,PhasesData!$E$4,PhasesData!$B$3,PhasesData!$C$3,PhasesData!$E$3,PhasesData!$F$3)</f>
        <v>0.40400195851748277</v>
      </c>
    </row>
    <row r="4" spans="1:8" x14ac:dyDescent="0.25">
      <c r="A4" s="8">
        <v>0.2</v>
      </c>
      <c r="B4" s="3">
        <f>EL(A4,PhasesData!$B$4,PhasesData!$E$4,PhasesData!$B$3,PhasesData!$C$3,PhasesData!$E$2,PhasesData!$F$3)</f>
        <v>16.830172413793104</v>
      </c>
      <c r="C4" s="3">
        <f>ET(A4,PhasesData!$B$4,PhasesData!$E$4,PhasesData!$B$3,PhasesData!$C$3,PhasesData!$E$2,PhasesData!$F$3)</f>
        <v>5.5075491440714401</v>
      </c>
      <c r="D4" s="3">
        <f>GLT(A4,PhasesData!$B$4,PhasesData!$E$4,PhasesData!$D$3)</f>
        <v>1.8121480289621883</v>
      </c>
      <c r="E4" s="3">
        <f>GTT(A4,PhasesData!$B$4,PhasesData!$E$4,PhasesData!$B$3,PhasesData!$C$3,PhasesData!$E$3,PhasesData!$F$3)</f>
        <v>1.7608143220560293</v>
      </c>
      <c r="F4" s="3">
        <f>KTT(A4,PhasesData!$B$4,PhasesData!$E$4,PhasesData!$B$3,PhasesData!$C$3,PhasesData!$E$3,PhasesData!$F$3)</f>
        <v>7.7852348993288603</v>
      </c>
      <c r="G4" s="3">
        <f>nuLT(A4,PhasesData!$B$4,PhasesData!$E$4,PhasesData!$B$3,PhasesData!$C$3,PhasesData!$E$3,PhasesData!$F$3)</f>
        <v>0.35474137931034494</v>
      </c>
      <c r="H4" s="3">
        <f>nuTT(A4,PhasesData!$B$4,PhasesData!$E$4,PhasesData!$B$3,PhasesData!$C$3,PhasesData!$E$3,PhasesData!$F$3)</f>
        <v>0.56392104354322425</v>
      </c>
    </row>
    <row r="5" spans="1:8" x14ac:dyDescent="0.25">
      <c r="A5" s="8">
        <v>0.3</v>
      </c>
      <c r="B5" s="3">
        <f>EL(A5,PhasesData!$B$4,PhasesData!$E$4,PhasesData!$B$3,PhasesData!$C$3,PhasesData!$E$2,PhasesData!$F$3)</f>
        <v>23.488961038961037</v>
      </c>
      <c r="C5" s="3">
        <f>ET(A5,PhasesData!$B$4,PhasesData!$E$4,PhasesData!$B$3,PhasesData!$C$3,PhasesData!$E$2,PhasesData!$F$3)</f>
        <v>6.7099213568026839</v>
      </c>
      <c r="D5" s="3">
        <f>GLT(A5,PhasesData!$B$4,PhasesData!$E$4,PhasesData!$D$3)</f>
        <v>2.2000339904826651</v>
      </c>
      <c r="E5" s="3">
        <f>GTT(A5,PhasesData!$B$4,PhasesData!$E$4,PhasesData!$B$3,PhasesData!$C$3,PhasesData!$E$3,PhasesData!$F$3)</f>
        <v>2.1561612190176525</v>
      </c>
      <c r="F5" s="3">
        <f>KTT(A5,PhasesData!$B$4,PhasesData!$E$4,PhasesData!$B$3,PhasesData!$C$3,PhasesData!$E$3,PhasesData!$F$3)</f>
        <v>8.8154205607476648</v>
      </c>
      <c r="G5" s="3">
        <f>nuLT(A5,PhasesData!$B$4,PhasesData!$E$4,PhasesData!$B$3,PhasesData!$C$3,PhasesData!$E$3,PhasesData!$F$3)</f>
        <v>0.33320964749536175</v>
      </c>
      <c r="H5" s="3">
        <f>nuTT(A5,PhasesData!$B$4,PhasesData!$E$4,PhasesData!$B$3,PhasesData!$C$3,PhasesData!$E$3,PhasesData!$F$3)</f>
        <v>0.55598785879743384</v>
      </c>
    </row>
    <row r="6" spans="1:8" x14ac:dyDescent="0.25">
      <c r="A6" s="8">
        <v>0.4</v>
      </c>
      <c r="B6" s="3">
        <f>EL(A6,PhasesData!$B$4,PhasesData!$E$4,PhasesData!$B$3,PhasesData!$C$3,PhasesData!$E$2,PhasesData!$F$3)</f>
        <v>30.143818466353679</v>
      </c>
      <c r="C6" s="3">
        <f>ET(A6,PhasesData!$B$4,PhasesData!$E$4,PhasesData!$B$3,PhasesData!$C$3,PhasesData!$E$2,PhasesData!$F$3)</f>
        <v>8.3292835081196124</v>
      </c>
      <c r="D6" s="3">
        <f>GLT(A6,PhasesData!$B$4,PhasesData!$E$4,PhasesData!$D$3)</f>
        <v>2.7004411001556825</v>
      </c>
      <c r="E6" s="3">
        <f>GTT(A6,PhasesData!$B$4,PhasesData!$E$4,PhasesData!$B$3,PhasesData!$C$3,PhasesData!$E$3,PhasesData!$F$3)</f>
        <v>2.7145772231312284</v>
      </c>
      <c r="F6" s="3">
        <f>KTT(A6,PhasesData!$B$4,PhasesData!$E$4,PhasesData!$B$3,PhasesData!$C$3,PhasesData!$E$3,PhasesData!$F$3)</f>
        <v>10.110759493670889</v>
      </c>
      <c r="G6" s="3">
        <f>nuLT(A6,PhasesData!$B$4,PhasesData!$E$4,PhasesData!$B$3,PhasesData!$C$3,PhasesData!$E$3,PhasesData!$F$3)</f>
        <v>0.31236306729264479</v>
      </c>
      <c r="H6" s="3">
        <f>nuTT(A6,PhasesData!$B$4,PhasesData!$E$4,PhasesData!$B$3,PhasesData!$C$3,PhasesData!$E$3,PhasesData!$F$3)</f>
        <v>0.53417693133664024</v>
      </c>
    </row>
    <row r="7" spans="1:8" x14ac:dyDescent="0.25">
      <c r="A7" s="8">
        <v>0.5</v>
      </c>
      <c r="B7" s="3">
        <f>EL(A7,PhasesData!$B$4,PhasesData!$E$4,PhasesData!$B$3,PhasesData!$C$3,PhasesData!$E$2,PhasesData!$F$3)</f>
        <v>36.79492939666239</v>
      </c>
      <c r="C7" s="3">
        <f>ET(A7,PhasesData!$B$4,PhasesData!$E$4,PhasesData!$B$3,PhasesData!$C$3,PhasesData!$E$2,PhasesData!$F$3)</f>
        <v>10.568683351661271</v>
      </c>
      <c r="D7" s="3">
        <f>GLT(A7,PhasesData!$B$4,PhasesData!$E$4,PhasesData!$D$3)</f>
        <v>3.3706373292867982</v>
      </c>
      <c r="E7" s="3">
        <f>GTT(A7,PhasesData!$B$4,PhasesData!$E$4,PhasesData!$B$3,PhasesData!$C$3,PhasesData!$E$3,PhasesData!$F$3)</f>
        <v>3.5165441427769983</v>
      </c>
      <c r="F7" s="3">
        <f>KTT(A7,PhasesData!$B$4,PhasesData!$E$4,PhasesData!$B$3,PhasesData!$C$3,PhasesData!$E$3,PhasesData!$F$3)</f>
        <v>11.788740920096854</v>
      </c>
      <c r="G7" s="3">
        <f>nuLT(A7,PhasesData!$B$4,PhasesData!$E$4,PhasesData!$B$3,PhasesData!$C$3,PhasesData!$E$3,PhasesData!$F$3)</f>
        <v>0.29216944801026962</v>
      </c>
      <c r="H7" s="3">
        <f>nuTT(A7,PhasesData!$B$4,PhasesData!$E$4,PhasesData!$B$3,PhasesData!$C$3,PhasesData!$E$3,PhasesData!$F$3)</f>
        <v>0.50270875646043089</v>
      </c>
    </row>
    <row r="8" spans="1:8" x14ac:dyDescent="0.25">
      <c r="A8" s="8">
        <v>0.55000000000000004</v>
      </c>
      <c r="B8" s="3">
        <f>EL(A8,PhasesData!$B$4,PhasesData!$E$4,PhasesData!$B$3,PhasesData!$C$3,PhasesData!$E$2,PhasesData!$F$3)</f>
        <v>40.119134505158584</v>
      </c>
      <c r="C8" s="3">
        <f>ET(A8,PhasesData!$B$4,PhasesData!$E$4,PhasesData!$B$3,PhasesData!$C$3,PhasesData!$E$2,PhasesData!$F$3)</f>
        <v>12.004927225593008</v>
      </c>
      <c r="D8" s="3">
        <f>GLT(A8,PhasesData!$B$4,PhasesData!$E$4,PhasesData!$D$3)</f>
        <v>3.7989139446194664</v>
      </c>
      <c r="E8" s="3">
        <f>GTT(A8,PhasesData!$B$4,PhasesData!$E$4,PhasesData!$B$3,PhasesData!$C$3,PhasesData!$E$3,PhasesData!$F$3)</f>
        <v>4.0436952756902649</v>
      </c>
      <c r="F8" s="3">
        <f>KTT(A8,PhasesData!$B$4,PhasesData!$E$4,PhasesData!$B$3,PhasesData!$C$3,PhasesData!$E$3,PhasesData!$F$3)</f>
        <v>12.828431372549021</v>
      </c>
      <c r="G8" s="3">
        <f>nuLT(A8,PhasesData!$B$4,PhasesData!$E$4,PhasesData!$B$3,PhasesData!$C$3,PhasesData!$E$3,PhasesData!$F$3)</f>
        <v>0.28230798624379061</v>
      </c>
      <c r="H8" s="3">
        <f>nuTT(A8,PhasesData!$B$4,PhasesData!$E$4,PhasesData!$B$3,PhasesData!$C$3,PhasesData!$E$3,PhasesData!$F$3)</f>
        <v>0.48440058005406317</v>
      </c>
    </row>
    <row r="9" spans="1:8" x14ac:dyDescent="0.25">
      <c r="A9" s="8">
        <v>0.6</v>
      </c>
      <c r="B9" s="3">
        <f>EL(A9,PhasesData!$B$4,PhasesData!$E$4,PhasesData!$B$3,PhasesData!$C$3,PhasesData!$E$2,PhasesData!$F$3)</f>
        <v>43.44246713852376</v>
      </c>
      <c r="C9" s="3">
        <f>ET(A9,PhasesData!$B$4,PhasesData!$E$4,PhasesData!$B$3,PhasesData!$C$3,PhasesData!$E$2,PhasesData!$F$3)</f>
        <v>13.714481182774906</v>
      </c>
      <c r="D9" s="3">
        <f>GLT(A9,PhasesData!$B$4,PhasesData!$E$4,PhasesData!$D$3)</f>
        <v>4.3146929824561404</v>
      </c>
      <c r="E9" s="3">
        <f>GTT(A9,PhasesData!$B$4,PhasesData!$E$4,PhasesData!$B$3,PhasesData!$C$3,PhasesData!$E$3,PhasesData!$F$3)</f>
        <v>4.6808295679436451</v>
      </c>
      <c r="F9" s="3">
        <f>KTT(A9,PhasesData!$B$4,PhasesData!$E$4,PhasesData!$B$3,PhasesData!$C$3,PhasesData!$E$3,PhasesData!$F$3)</f>
        <v>14.048295454545455</v>
      </c>
      <c r="G9" s="3">
        <f>nuLT(A9,PhasesData!$B$4,PhasesData!$E$4,PhasesData!$B$3,PhasesData!$C$3,PhasesData!$E$3,PhasesData!$F$3)</f>
        <v>0.27259858442871593</v>
      </c>
      <c r="H9" s="3">
        <f>nuTT(A9,PhasesData!$B$4,PhasesData!$E$4,PhasesData!$B$3,PhasesData!$C$3,PhasesData!$E$3,PhasesData!$F$3)</f>
        <v>0.46496267207608155</v>
      </c>
    </row>
    <row r="10" spans="1:8" x14ac:dyDescent="0.25">
      <c r="A10" s="8">
        <v>0.65</v>
      </c>
      <c r="B10" s="3">
        <f>EL(A10,PhasesData!$B$4,PhasesData!$E$4,PhasesData!$B$3,PhasesData!$C$3,PhasesData!$E$2,PhasesData!$F$3)</f>
        <v>46.764947322212471</v>
      </c>
      <c r="C10" s="3">
        <f>ET(A10,PhasesData!$B$4,PhasesData!$E$4,PhasesData!$B$3,PhasesData!$C$3,PhasesData!$E$2,PhasesData!$F$3)</f>
        <v>15.764128006940544</v>
      </c>
      <c r="D10" s="3">
        <f>GLT(A10,PhasesData!$B$4,PhasesData!$E$4,PhasesData!$D$3)</f>
        <v>4.947842458782822</v>
      </c>
      <c r="E10" s="3">
        <f>GTT(A10,PhasesData!$B$4,PhasesData!$E$4,PhasesData!$B$3,PhasesData!$C$3,PhasesData!$E$3,PhasesData!$F$3)</f>
        <v>5.4553919278181793</v>
      </c>
      <c r="F10" s="3">
        <f>KTT(A10,PhasesData!$B$4,PhasesData!$E$4,PhasesData!$B$3,PhasesData!$C$3,PhasesData!$E$3,PhasesData!$F$3)</f>
        <v>15.499611197511667</v>
      </c>
      <c r="G10" s="3">
        <f>nuLT(A10,PhasesData!$B$4,PhasesData!$E$4,PhasesData!$B$3,PhasesData!$C$3,PhasesData!$E$3,PhasesData!$F$3)</f>
        <v>0.26303775241439864</v>
      </c>
      <c r="H10" s="3">
        <f>nuTT(A10,PhasesData!$B$4,PhasesData!$E$4,PhasesData!$B$3,PhasesData!$C$3,PhasesData!$E$3,PhasesData!$F$3)</f>
        <v>0.44482085022672457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PhasesData</vt:lpstr>
      <vt:lpstr>CF-EP</vt:lpstr>
      <vt:lpstr>GF-EP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 Di Stasio</dc:creator>
  <cp:lastModifiedBy>Luca Di Stasio</cp:lastModifiedBy>
  <dcterms:created xsi:type="dcterms:W3CDTF">2018-04-18T16:45:48Z</dcterms:created>
  <dcterms:modified xsi:type="dcterms:W3CDTF">2018-04-30T16:32:38Z</dcterms:modified>
</cp:coreProperties>
</file>